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49ffa8e94f27b0/Documentos/SENA/PROYECTO/Matriz Tecnica/"/>
    </mc:Choice>
  </mc:AlternateContent>
  <xr:revisionPtr revIDLastSave="45" documentId="13_ncr:1_{7A18D279-CAEE-4406-9C6A-B2246508AF17}" xr6:coauthVersionLast="47" xr6:coauthVersionMax="47" xr10:uidLastSave="{21818FCF-2B97-4C1F-9BD8-7A57D8C910C9}"/>
  <bookViews>
    <workbookView xWindow="-120" yWindow="-120" windowWidth="20730" windowHeight="11040" firstSheet="3" activeTab="4" xr2:uid="{00000000-000D-0000-FFFF-FFFF00000000}"/>
  </bookViews>
  <sheets>
    <sheet name="- AYUDA -" sheetId="5" r:id="rId1"/>
    <sheet name="Precios(Equipo Programacion)" sheetId="7" r:id="rId2"/>
    <sheet name="Precios (Equipo Admin)" sheetId="9" r:id="rId3"/>
    <sheet name="Precios (pc Doctor)" sheetId="10" r:id="rId4"/>
    <sheet name="Precios (pc Enfermero)" sheetId="11" r:id="rId5"/>
    <sheet name="Soporte" sheetId="8" state="hidden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1" l="1"/>
  <c r="E12" i="11"/>
  <c r="D12" i="11"/>
  <c r="B12" i="11"/>
  <c r="F12" i="10"/>
  <c r="E12" i="10"/>
  <c r="D12" i="10"/>
  <c r="B12" i="10"/>
  <c r="B14" i="7"/>
  <c r="B19" i="9" l="1"/>
  <c r="F14" i="7"/>
  <c r="E14" i="7"/>
  <c r="F11" i="11" l="1"/>
  <c r="E11" i="11"/>
  <c r="D11" i="11"/>
  <c r="B11" i="11"/>
  <c r="F11" i="10"/>
  <c r="E11" i="10"/>
  <c r="D11" i="10"/>
  <c r="B11" i="10"/>
  <c r="F10" i="10"/>
  <c r="E10" i="10"/>
  <c r="D10" i="10"/>
  <c r="L10" i="10" s="1"/>
  <c r="B10" i="10"/>
  <c r="F10" i="11"/>
  <c r="E10" i="11"/>
  <c r="D10" i="11"/>
  <c r="J10" i="11" s="1"/>
  <c r="B10" i="11"/>
  <c r="F9" i="11"/>
  <c r="J19" i="11"/>
  <c r="J20" i="11"/>
  <c r="E9" i="11"/>
  <c r="L12" i="11"/>
  <c r="L21" i="11"/>
  <c r="K24" i="11"/>
  <c r="D9" i="11"/>
  <c r="K12" i="11"/>
  <c r="K14" i="11"/>
  <c r="K20" i="11"/>
  <c r="L22" i="11"/>
  <c r="B9" i="11"/>
  <c r="F9" i="10"/>
  <c r="L12" i="10"/>
  <c r="L13" i="10"/>
  <c r="K16" i="10"/>
  <c r="K17" i="10"/>
  <c r="L18" i="10"/>
  <c r="L19" i="10"/>
  <c r="J20" i="10"/>
  <c r="L21" i="10"/>
  <c r="L22" i="10"/>
  <c r="L23" i="10"/>
  <c r="K24" i="10"/>
  <c r="E9" i="10"/>
  <c r="D9" i="10"/>
  <c r="B9" i="10"/>
  <c r="I25" i="11"/>
  <c r="H25" i="11"/>
  <c r="G25" i="11"/>
  <c r="L13" i="11"/>
  <c r="I25" i="10"/>
  <c r="H25" i="10"/>
  <c r="G25" i="10"/>
  <c r="J15" i="10"/>
  <c r="L14" i="10"/>
  <c r="K14" i="10"/>
  <c r="L11" i="10"/>
  <c r="F18" i="9"/>
  <c r="F16" i="7"/>
  <c r="E16" i="7"/>
  <c r="D16" i="7"/>
  <c r="B16" i="7"/>
  <c r="F15" i="7"/>
  <c r="E15" i="7"/>
  <c r="D15" i="7"/>
  <c r="B15" i="7"/>
  <c r="D25" i="11" l="1"/>
  <c r="F25" i="11"/>
  <c r="E25" i="10"/>
  <c r="K9" i="11"/>
  <c r="L11" i="11"/>
  <c r="L23" i="11"/>
  <c r="K17" i="11"/>
  <c r="L19" i="11"/>
  <c r="L20" i="11"/>
  <c r="K19" i="11"/>
  <c r="L17" i="11"/>
  <c r="L24" i="11"/>
  <c r="J21" i="11"/>
  <c r="E25" i="11"/>
  <c r="K21" i="11"/>
  <c r="L16" i="11"/>
  <c r="J24" i="11"/>
  <c r="J23" i="11"/>
  <c r="L9" i="11"/>
  <c r="K23" i="11"/>
  <c r="L15" i="11"/>
  <c r="J17" i="11"/>
  <c r="L18" i="11"/>
  <c r="L14" i="11"/>
  <c r="J14" i="11"/>
  <c r="J22" i="11"/>
  <c r="K22" i="11"/>
  <c r="J12" i="11"/>
  <c r="F25" i="10"/>
  <c r="K19" i="10"/>
  <c r="L16" i="10"/>
  <c r="L20" i="10"/>
  <c r="J19" i="10"/>
  <c r="L17" i="10"/>
  <c r="L9" i="10"/>
  <c r="K21" i="10"/>
  <c r="J22" i="10"/>
  <c r="L24" i="10"/>
  <c r="K20" i="10"/>
  <c r="K22" i="10"/>
  <c r="J23" i="10"/>
  <c r="D25" i="10"/>
  <c r="K23" i="10"/>
  <c r="K9" i="10"/>
  <c r="J24" i="10"/>
  <c r="K10" i="10"/>
  <c r="J10" i="10"/>
  <c r="J21" i="10"/>
  <c r="K15" i="11"/>
  <c r="K10" i="11"/>
  <c r="J13" i="11"/>
  <c r="K13" i="11"/>
  <c r="J18" i="11"/>
  <c r="J11" i="11"/>
  <c r="K18" i="11"/>
  <c r="K11" i="11"/>
  <c r="J16" i="11"/>
  <c r="J9" i="11"/>
  <c r="K16" i="11"/>
  <c r="J15" i="11"/>
  <c r="L10" i="11"/>
  <c r="L15" i="10"/>
  <c r="K13" i="10"/>
  <c r="J18" i="10"/>
  <c r="J13" i="10"/>
  <c r="K18" i="10"/>
  <c r="J11" i="10"/>
  <c r="K11" i="10"/>
  <c r="J16" i="10"/>
  <c r="J9" i="10"/>
  <c r="J14" i="10"/>
  <c r="K15" i="10"/>
  <c r="K12" i="10"/>
  <c r="J17" i="10"/>
  <c r="J12" i="10"/>
  <c r="E18" i="9"/>
  <c r="D18" i="9"/>
  <c r="B18" i="9"/>
  <c r="F17" i="9"/>
  <c r="E17" i="9"/>
  <c r="D17" i="9"/>
  <c r="B17" i="9"/>
  <c r="F11" i="9"/>
  <c r="E11" i="9"/>
  <c r="D11" i="9"/>
  <c r="B11" i="9"/>
  <c r="F10" i="9" l="1"/>
  <c r="E10" i="9"/>
  <c r="D10" i="9"/>
  <c r="B10" i="9"/>
  <c r="F16" i="9"/>
  <c r="E16" i="9"/>
  <c r="D16" i="9"/>
  <c r="L16" i="9" s="1"/>
  <c r="F15" i="9"/>
  <c r="E15" i="9"/>
  <c r="D15" i="9"/>
  <c r="L15" i="9" s="1"/>
  <c r="B15" i="9"/>
  <c r="F14" i="9"/>
  <c r="E14" i="9"/>
  <c r="D14" i="9"/>
  <c r="F13" i="9"/>
  <c r="E13" i="9"/>
  <c r="D13" i="9"/>
  <c r="B13" i="9"/>
  <c r="F12" i="9"/>
  <c r="E12" i="9"/>
  <c r="D12" i="9"/>
  <c r="J12" i="9" s="1"/>
  <c r="B12" i="9"/>
  <c r="F9" i="9"/>
  <c r="E9" i="9"/>
  <c r="D9" i="9"/>
  <c r="B9" i="9"/>
  <c r="I25" i="9"/>
  <c r="H25" i="9"/>
  <c r="G25" i="9"/>
  <c r="L24" i="9"/>
  <c r="K24" i="9"/>
  <c r="J24" i="9"/>
  <c r="L23" i="9"/>
  <c r="K23" i="9"/>
  <c r="J23" i="9"/>
  <c r="L22" i="9"/>
  <c r="K22" i="9"/>
  <c r="J22" i="9"/>
  <c r="L21" i="9"/>
  <c r="K21" i="9"/>
  <c r="J21" i="9"/>
  <c r="L11" i="9"/>
  <c r="L10" i="9"/>
  <c r="K10" i="9"/>
  <c r="F13" i="7"/>
  <c r="E13" i="7"/>
  <c r="D13" i="7"/>
  <c r="B13" i="7"/>
  <c r="E12" i="7"/>
  <c r="F12" i="7"/>
  <c r="D12" i="7"/>
  <c r="B12" i="7"/>
  <c r="E11" i="7"/>
  <c r="F11" i="7"/>
  <c r="D11" i="7"/>
  <c r="B11" i="7"/>
  <c r="D10" i="7"/>
  <c r="F10" i="7"/>
  <c r="E10" i="7"/>
  <c r="B10" i="7"/>
  <c r="F9" i="7"/>
  <c r="E9" i="7"/>
  <c r="D9" i="7"/>
  <c r="B9" i="7"/>
  <c r="L22" i="7"/>
  <c r="J15" i="7"/>
  <c r="K13" i="9" l="1"/>
  <c r="J13" i="9"/>
  <c r="L13" i="9"/>
  <c r="E25" i="9"/>
  <c r="F25" i="9"/>
  <c r="L14" i="9"/>
  <c r="J18" i="9"/>
  <c r="K15" i="9"/>
  <c r="L19" i="9"/>
  <c r="J16" i="9"/>
  <c r="K16" i="9"/>
  <c r="K20" i="9"/>
  <c r="K19" i="9"/>
  <c r="L18" i="9"/>
  <c r="L17" i="9"/>
  <c r="J20" i="9"/>
  <c r="J17" i="9"/>
  <c r="J14" i="9"/>
  <c r="K14" i="9"/>
  <c r="K18" i="9"/>
  <c r="L20" i="9"/>
  <c r="D25" i="9"/>
  <c r="K17" i="9"/>
  <c r="J15" i="9"/>
  <c r="J19" i="9"/>
  <c r="K12" i="9"/>
  <c r="L12" i="9"/>
  <c r="J9" i="9"/>
  <c r="K9" i="9"/>
  <c r="J11" i="9"/>
  <c r="L9" i="9"/>
  <c r="K11" i="9"/>
  <c r="J10" i="9"/>
  <c r="G25" i="7"/>
  <c r="K17" i="7"/>
  <c r="L24" i="7"/>
  <c r="L20" i="7"/>
  <c r="K23" i="7"/>
  <c r="K22" i="7"/>
  <c r="L15" i="7"/>
  <c r="K20" i="7"/>
  <c r="J18" i="7"/>
  <c r="H25" i="7"/>
  <c r="K15" i="7"/>
  <c r="K19" i="7"/>
  <c r="I25" i="7"/>
  <c r="J23" i="7"/>
  <c r="J22" i="7"/>
  <c r="J17" i="7"/>
  <c r="K21" i="7"/>
  <c r="L23" i="7"/>
  <c r="K18" i="7"/>
  <c r="L21" i="7"/>
  <c r="L17" i="7"/>
  <c r="L19" i="7"/>
  <c r="J20" i="7"/>
  <c r="J16" i="7"/>
  <c r="J19" i="7"/>
  <c r="L18" i="7"/>
  <c r="K24" i="7"/>
  <c r="J24" i="7"/>
  <c r="L16" i="7"/>
  <c r="K16" i="7"/>
  <c r="J21" i="7"/>
  <c r="L13" i="7"/>
  <c r="K13" i="7"/>
  <c r="J13" i="7"/>
  <c r="L12" i="7"/>
  <c r="K12" i="7"/>
  <c r="J12" i="7"/>
  <c r="L11" i="7"/>
  <c r="K11" i="7"/>
  <c r="J11" i="7"/>
  <c r="L10" i="7"/>
  <c r="K10" i="7"/>
  <c r="J10" i="7"/>
  <c r="L9" i="7"/>
  <c r="K9" i="7"/>
  <c r="J9" i="7"/>
  <c r="E25" i="7" l="1"/>
  <c r="D14" i="7"/>
  <c r="F25" i="7"/>
  <c r="K14" i="7" l="1"/>
  <c r="J14" i="7"/>
  <c r="L14" i="7"/>
  <c r="D25" i="7"/>
</calcChain>
</file>

<file path=xl/sharedStrings.xml><?xml version="1.0" encoding="utf-8"?>
<sst xmlns="http://schemas.openxmlformats.org/spreadsheetml/2006/main" count="115" uniqueCount="43">
  <si>
    <t>Ayuda</t>
  </si>
  <si>
    <t>Comparación de Precios entre diferentes proveedores</t>
  </si>
  <si>
    <t>Ingresa en la tabla los productos, los proveedores y sus precios</t>
  </si>
  <si>
    <t>ESTADÍSTICAS POR PRODUCTO</t>
  </si>
  <si>
    <t>PRODUCTO</t>
  </si>
  <si>
    <t>CANTIDAD</t>
  </si>
  <si>
    <t>PROVEEDOR 1</t>
  </si>
  <si>
    <t>PROVEEDOR 2</t>
  </si>
  <si>
    <t>PROVEEDOR 3</t>
  </si>
  <si>
    <t>PROVEEDOR 4</t>
  </si>
  <si>
    <t>PROVEEDOR 5</t>
  </si>
  <si>
    <t>PROVEEDOR 6</t>
  </si>
  <si>
    <t>PRECIO MÁS BAJO</t>
  </si>
  <si>
    <t>PRECIO PROMEDIO</t>
  </si>
  <si>
    <t>PRECIO MÁS ALTO</t>
  </si>
  <si>
    <t>Total</t>
  </si>
  <si>
    <t>DATOS ADICIONALES</t>
  </si>
  <si>
    <t>TIEMPO DE ENTREGA (DÍAS)</t>
  </si>
  <si>
    <t>10 dias habiles</t>
  </si>
  <si>
    <t>30 dias habiles</t>
  </si>
  <si>
    <t>entrega inmediata</t>
  </si>
  <si>
    <t>COSTO DE ENVÍO</t>
  </si>
  <si>
    <t>FORMAS DE PAGO</t>
  </si>
  <si>
    <t>Antivirus</t>
  </si>
  <si>
    <t>Dominio</t>
  </si>
  <si>
    <t>Inmediata</t>
  </si>
  <si>
    <t>7 dias habiles</t>
  </si>
  <si>
    <t>Almendras</t>
  </si>
  <si>
    <t>Nueces</t>
  </si>
  <si>
    <t>Pistachos</t>
  </si>
  <si>
    <t>Pecán</t>
  </si>
  <si>
    <t>Bananas</t>
  </si>
  <si>
    <t>Pasas</t>
  </si>
  <si>
    <t>Gratis</t>
  </si>
  <si>
    <t>Efvo</t>
  </si>
  <si>
    <t>Mercado Pago</t>
  </si>
  <si>
    <t>Efectivo</t>
  </si>
  <si>
    <t xml:space="preserve">Tarjeta </t>
  </si>
  <si>
    <t>Tarjeta cuotas</t>
  </si>
  <si>
    <t>Piñones</t>
  </si>
  <si>
    <t>Cranberries</t>
  </si>
  <si>
    <t>Castañas</t>
  </si>
  <si>
    <t>China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</si>
</sst>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\ #,##0.00;[Red]\-&quot;$&quot;\ #,##0.00"/>
    <numFmt numFmtId="164" formatCode="&quot;$&quot;\ #,##0.00"/>
    <numFmt numFmtId="165" formatCode="&quot;$&quot;\ #,##0.0"/>
  </numFmts>
  <fonts count="18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8745EC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sz val="16"/>
      <color theme="0" tint="-0.499984740745262"/>
      <name val="Calibri"/>
      <family val="2"/>
      <scheme val="minor"/>
    </font>
    <font>
      <sz val="8"/>
      <name val="Arial"/>
      <family val="2"/>
    </font>
    <font>
      <sz val="11"/>
      <color rgb="FF000000"/>
      <name val="Arial"/>
      <family val="2"/>
    </font>
    <font>
      <sz val="13.95"/>
      <color rgb="FF595959"/>
      <name val="Calibri"/>
      <family val="2"/>
    </font>
    <font>
      <sz val="14"/>
      <color theme="1" tint="0.34998626667073579"/>
      <name val="Calibri"/>
      <family val="2"/>
      <scheme val="minor"/>
    </font>
    <font>
      <sz val="14"/>
      <color theme="1" tint="0.34998626667073579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8F3FF"/>
        <bgColor indexed="64"/>
      </patternFill>
    </fill>
    <fill>
      <patternFill patternType="solid">
        <fgColor rgb="FF8745EC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 style="medium">
        <color rgb="FF8745EC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rgb="FF8745EC"/>
      </right>
      <top style="thin">
        <color theme="0"/>
      </top>
      <bottom style="thin">
        <color theme="0"/>
      </bottom>
      <diagonal/>
    </border>
    <border>
      <left style="medium">
        <color rgb="FF8745EC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dash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theme="0" tint="-0.34998626667073579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rgb="FF8745EC"/>
      </right>
      <top style="thin">
        <color theme="0"/>
      </top>
      <bottom/>
      <diagonal/>
    </border>
    <border>
      <left/>
      <right style="thin">
        <color rgb="FFFFFF66"/>
      </right>
      <top/>
      <bottom/>
      <diagonal/>
    </border>
    <border>
      <left style="thin">
        <color rgb="FFFFFF66"/>
      </left>
      <right style="thin">
        <color rgb="FFFFFF66"/>
      </right>
      <top style="thin">
        <color rgb="FFFFFFFF"/>
      </top>
      <bottom style="thin">
        <color rgb="FFF2F2F2"/>
      </bottom>
      <diagonal/>
    </border>
    <border>
      <left style="thin">
        <color rgb="FFFFFF66"/>
      </left>
      <right/>
      <top/>
      <bottom/>
      <diagonal/>
    </border>
    <border>
      <left style="thin">
        <color rgb="FFFFFF66"/>
      </left>
      <right style="thin">
        <color rgb="FFFFFF66"/>
      </right>
      <top style="thin">
        <color rgb="FFF2F2F2"/>
      </top>
      <bottom style="thin">
        <color rgb="FFF2F2F2"/>
      </bottom>
      <diagonal/>
    </border>
    <border>
      <left/>
      <right/>
      <top style="slantDashDot">
        <color theme="0" tint="-4.9989318521683403E-2"/>
      </top>
      <bottom style="medium">
        <color theme="0" tint="-4.9989318521683403E-2"/>
      </bottom>
      <diagonal/>
    </border>
    <border>
      <left style="medium">
        <color rgb="FF8745EC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0" tint="-0.34998626667073579"/>
      </right>
      <top style="thin">
        <color theme="0" tint="-0.499984740745262"/>
      </top>
      <bottom style="dashed">
        <color theme="0" tint="-0.34998626667073579"/>
      </bottom>
      <diagonal/>
    </border>
    <border>
      <left style="thin">
        <color theme="1" tint="0.499984740745262"/>
      </left>
      <right style="thin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theme="1" tint="0.499984740745262"/>
      </left>
      <right style="thin">
        <color theme="0" tint="-0.34998626667073579"/>
      </right>
      <top style="dashed">
        <color theme="0" tint="-0.34998626667073579"/>
      </top>
      <bottom style="thin">
        <color theme="0" tint="-0.499984740745262"/>
      </bottom>
      <diagonal/>
    </border>
    <border>
      <left/>
      <right/>
      <top/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 style="medium">
        <color rgb="FF8745EC"/>
      </left>
      <right/>
      <top style="medium">
        <color rgb="FF8745EC"/>
      </top>
      <bottom style="thin">
        <color theme="0"/>
      </bottom>
      <diagonal/>
    </border>
    <border>
      <left/>
      <right/>
      <top style="medium">
        <color rgb="FF8745EC"/>
      </top>
      <bottom style="thin">
        <color theme="0"/>
      </bottom>
      <diagonal/>
    </border>
    <border>
      <left/>
      <right style="medium">
        <color rgb="FF8745EC"/>
      </right>
      <top style="medium">
        <color rgb="FF8745EC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70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0" fillId="5" borderId="0" xfId="0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164" fontId="8" fillId="3" borderId="1" xfId="0" applyNumberFormat="1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164" fontId="8" fillId="3" borderId="4" xfId="0" applyNumberFormat="1" applyFont="1" applyFill="1" applyBorder="1" applyAlignment="1">
      <alignment horizontal="center"/>
    </xf>
    <xf numFmtId="164" fontId="8" fillId="3" borderId="5" xfId="0" applyNumberFormat="1" applyFont="1" applyFill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5" fillId="0" borderId="0" xfId="2"/>
    <xf numFmtId="0" fontId="11" fillId="0" borderId="0" xfId="2" applyFont="1" applyAlignment="1">
      <alignment vertical="center"/>
    </xf>
    <xf numFmtId="0" fontId="11" fillId="0" borderId="0" xfId="2" applyFont="1" applyAlignment="1">
      <alignment vertical="top"/>
    </xf>
    <xf numFmtId="0" fontId="7" fillId="0" borderId="8" xfId="0" applyFont="1" applyBorder="1" applyAlignment="1">
      <alignment horizontal="left" vertical="center" wrapText="1" indent="1"/>
    </xf>
    <xf numFmtId="164" fontId="9" fillId="0" borderId="9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" fontId="10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64" fontId="8" fillId="3" borderId="6" xfId="0" applyNumberFormat="1" applyFont="1" applyFill="1" applyBorder="1" applyAlignment="1">
      <alignment horizontal="center"/>
    </xf>
    <xf numFmtId="164" fontId="8" fillId="3" borderId="13" xfId="0" applyNumberFormat="1" applyFont="1" applyFill="1" applyBorder="1" applyAlignment="1">
      <alignment horizontal="center"/>
    </xf>
    <xf numFmtId="164" fontId="8" fillId="3" borderId="14" xfId="0" applyNumberFormat="1" applyFont="1" applyFill="1" applyBorder="1" applyAlignment="1">
      <alignment horizontal="center"/>
    </xf>
    <xf numFmtId="0" fontId="0" fillId="5" borderId="3" xfId="0" applyFill="1" applyBorder="1"/>
    <xf numFmtId="0" fontId="7" fillId="4" borderId="7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164" fontId="10" fillId="3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8" fontId="14" fillId="0" borderId="0" xfId="0" applyNumberFormat="1" applyFont="1" applyAlignment="1">
      <alignment vertical="center" wrapText="1"/>
    </xf>
    <xf numFmtId="8" fontId="14" fillId="0" borderId="15" xfId="0" applyNumberFormat="1" applyFont="1" applyBorder="1" applyAlignment="1">
      <alignment vertical="center" wrapText="1"/>
    </xf>
    <xf numFmtId="8" fontId="15" fillId="0" borderId="16" xfId="0" applyNumberFormat="1" applyFont="1" applyBorder="1" applyAlignment="1">
      <alignment vertical="center" wrapText="1"/>
    </xf>
    <xf numFmtId="8" fontId="14" fillId="0" borderId="17" xfId="0" applyNumberFormat="1" applyFont="1" applyBorder="1" applyAlignment="1">
      <alignment vertical="center" wrapText="1"/>
    </xf>
    <xf numFmtId="8" fontId="15" fillId="0" borderId="18" xfId="0" applyNumberFormat="1" applyFont="1" applyBorder="1" applyAlignment="1">
      <alignment vertical="center" wrapText="1"/>
    </xf>
    <xf numFmtId="164" fontId="9" fillId="2" borderId="2" xfId="0" applyNumberFormat="1" applyFont="1" applyFill="1" applyBorder="1" applyAlignment="1">
      <alignment horizontal="center" vertical="center"/>
    </xf>
    <xf numFmtId="2" fontId="9" fillId="2" borderId="2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164" fontId="9" fillId="0" borderId="19" xfId="0" applyNumberFormat="1" applyFont="1" applyBorder="1" applyAlignment="1">
      <alignment horizontal="center" vertical="center"/>
    </xf>
    <xf numFmtId="2" fontId="9" fillId="0" borderId="19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64" fontId="9" fillId="0" borderId="23" xfId="0" applyNumberFormat="1" applyFont="1" applyBorder="1" applyAlignment="1">
      <alignment horizontal="center" vertical="center"/>
    </xf>
    <xf numFmtId="164" fontId="9" fillId="0" borderId="25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" fontId="10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8" fontId="15" fillId="6" borderId="28" xfId="0" applyNumberFormat="1" applyFont="1" applyFill="1" applyBorder="1" applyAlignment="1">
      <alignment vertical="center" wrapText="1"/>
    </xf>
    <xf numFmtId="8" fontId="15" fillId="6" borderId="29" xfId="0" applyNumberFormat="1" applyFont="1" applyFill="1" applyBorder="1" applyAlignment="1">
      <alignment vertical="center" wrapText="1"/>
    </xf>
    <xf numFmtId="0" fontId="14" fillId="0" borderId="0" xfId="0" applyFont="1"/>
    <xf numFmtId="164" fontId="9" fillId="2" borderId="0" xfId="0" applyNumberFormat="1" applyFont="1" applyFill="1" applyAlignment="1">
      <alignment horizontal="center"/>
    </xf>
    <xf numFmtId="164" fontId="9" fillId="0" borderId="2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164" fontId="9" fillId="0" borderId="19" xfId="0" applyNumberFormat="1" applyFont="1" applyBorder="1" applyAlignment="1">
      <alignment horizontal="left" vertical="center"/>
    </xf>
    <xf numFmtId="164" fontId="9" fillId="2" borderId="2" xfId="0" applyNumberFormat="1" applyFont="1" applyFill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0" fontId="6" fillId="5" borderId="32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164" fontId="17" fillId="2" borderId="2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1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numFmt numFmtId="164" formatCode="&quot;$&quot;\ 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left style="thin">
          <color rgb="FFFFFF66"/>
        </left>
        <right style="thin">
          <color rgb="FFFFFF66"/>
        </right>
        <vertical/>
        <horizontal/>
      </border>
    </dxf>
    <dxf>
      <border>
        <left style="thin">
          <color rgb="FFFFFF66"/>
        </left>
        <right style="thin">
          <color rgb="FFFFFF66"/>
        </right>
        <vertical/>
        <horizontal/>
      </border>
    </dxf>
    <dxf>
      <fill>
        <gradientFill type="path" left="0.5" right="0.5" top="0.5" bottom="0.5">
          <stop position="0">
            <color theme="0"/>
          </stop>
          <stop position="1">
            <color rgb="FFFFFF66"/>
          </stop>
        </gradientFill>
      </fill>
      <border>
        <left style="thin">
          <color rgb="FFFFFF66"/>
        </left>
        <right style="thin">
          <color rgb="FFFFFF66"/>
        </right>
        <top style="thin">
          <color rgb="FFFFFF66"/>
        </top>
        <vertical/>
        <horizontal/>
      </border>
    </dxf>
    <dxf>
      <border>
        <left style="thin">
          <color rgb="FFFFFF66"/>
        </left>
        <right style="thin">
          <color rgb="FFFFFF66"/>
        </right>
        <vertical/>
        <horizontal/>
      </border>
    </dxf>
    <dxf>
      <fill>
        <gradientFill type="path" left="0.5" right="0.5" top="0.5" bottom="0.5">
          <stop position="0">
            <color theme="0"/>
          </stop>
          <stop position="1">
            <color rgb="FFFFFF66"/>
          </stop>
        </gradientFill>
      </fill>
      <border>
        <left style="thin">
          <color rgb="FFFFFF66"/>
        </left>
        <right style="thin">
          <color rgb="FFFFFF66"/>
        </right>
        <top style="thin">
          <color rgb="FFFFFF66"/>
        </top>
        <vertical/>
        <horizontal/>
      </border>
    </dxf>
    <dxf>
      <border>
        <left style="thin">
          <color rgb="FFFFFF66"/>
        </left>
        <right style="thin">
          <color rgb="FFFFFF66"/>
        </right>
        <vertical/>
        <horizontal/>
      </border>
    </dxf>
    <dxf>
      <fill>
        <gradientFill type="path" left="0.5" right="0.5" top="0.5" bottom="0.5">
          <stop position="0">
            <color theme="0"/>
          </stop>
          <stop position="1">
            <color rgb="FFFFFF66"/>
          </stop>
        </gradientFill>
      </fill>
      <border>
        <left style="thin">
          <color rgb="FFFFFF66"/>
        </left>
        <right style="thin">
          <color rgb="FFFFFF66"/>
        </right>
        <top style="thin">
          <color rgb="FFFFFF66"/>
        </top>
        <vertical/>
        <horizontal/>
      </border>
    </dxf>
    <dxf>
      <border>
        <left style="thin">
          <color rgb="FFFFFF66"/>
        </left>
        <right style="thin">
          <color rgb="FFFFFF66"/>
        </right>
        <vertical/>
        <horizontal/>
      </border>
    </dxf>
    <dxf>
      <fill>
        <gradientFill type="path" left="0.5" right="0.5" top="0.5" bottom="0.5">
          <stop position="0">
            <color theme="0"/>
          </stop>
          <stop position="1">
            <color rgb="FFFFFF66"/>
          </stop>
        </gradientFill>
      </fill>
      <border>
        <left style="thin">
          <color rgb="FFFFFF66"/>
        </left>
        <right style="thin">
          <color rgb="FFFFFF66"/>
        </right>
        <top style="thin">
          <color rgb="FFFFFF66"/>
        </top>
        <vertical/>
        <horizontal/>
      </border>
    </dxf>
    <dxf>
      <border>
        <left style="thin">
          <color rgb="FFFFFF66"/>
        </left>
        <right style="thin">
          <color rgb="FFFFFF66"/>
        </right>
        <vertical/>
        <horizontal/>
      </border>
    </dxf>
    <dxf>
      <fill>
        <gradientFill type="path" left="0.5" right="0.5" top="0.5" bottom="0.5">
          <stop position="0">
            <color theme="0"/>
          </stop>
          <stop position="1">
            <color rgb="FFFFFF66"/>
          </stop>
        </gradientFill>
      </fill>
      <border>
        <left style="thin">
          <color rgb="FFFFFF66"/>
        </left>
        <right style="thin">
          <color rgb="FFFFFF66"/>
        </right>
        <top style="thin">
          <color rgb="FFFFFF66"/>
        </top>
        <vertical/>
        <horizontal/>
      </border>
    </dxf>
    <dxf>
      <border>
        <left style="thin">
          <color rgb="FFFFFF66"/>
        </left>
        <right style="thin">
          <color rgb="FFFFFF66"/>
        </right>
        <vertical/>
        <horizontal/>
      </border>
    </dxf>
    <dxf>
      <fill>
        <gradientFill type="path" left="0.5" right="0.5" top="0.5" bottom="0.5">
          <stop position="0">
            <color theme="0"/>
          </stop>
          <stop position="1">
            <color rgb="FFFFFF66"/>
          </stop>
        </gradientFill>
      </fill>
      <border>
        <left style="thin">
          <color rgb="FFFFFF66"/>
        </left>
        <right style="thin">
          <color rgb="FFFFFF66"/>
        </right>
        <top style="thin">
          <color rgb="FFFFFF66"/>
        </top>
        <vertical/>
        <horizontal/>
      </border>
    </dxf>
    <dxf>
      <border>
        <left style="thin">
          <color rgb="FFFFFF66"/>
        </left>
        <right style="thin">
          <color rgb="FFFFFF66"/>
        </right>
        <vertical/>
        <horizontal/>
      </border>
    </dxf>
    <dxf>
      <fill>
        <gradientFill type="path" left="0.5" right="0.5" top="0.5" bottom="0.5">
          <stop position="0">
            <color theme="0"/>
          </stop>
          <stop position="1">
            <color rgb="FFFFFF66"/>
          </stop>
        </gradientFill>
      </fill>
      <border>
        <left style="thin">
          <color rgb="FFFFFF66"/>
        </left>
        <right style="thin">
          <color rgb="FFFFFF66"/>
        </right>
        <top style="thin">
          <color rgb="FFFFFF66"/>
        </top>
        <vertical/>
        <horizontal/>
      </border>
    </dxf>
    <dxf>
      <fill>
        <gradientFill type="path" left="0.5" right="0.5" top="0.5" bottom="0.5">
          <stop position="0">
            <color theme="0"/>
          </stop>
          <stop position="1">
            <color rgb="FFFFFF66"/>
          </stop>
        </gradientFill>
      </fill>
      <border>
        <left style="thin">
          <color rgb="FFFFFF66"/>
        </left>
        <right style="thin">
          <color rgb="FFFFFF66"/>
        </right>
        <top style="thin">
          <color rgb="FFFFFF66"/>
        </top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numFmt numFmtId="164" formatCode="&quot;$&quot;\ 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numFmt numFmtId="164" formatCode="&quot;$&quot;\ 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numFmt numFmtId="164" formatCode="&quot;$&quot;\ 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medium">
          <color rgb="FF8745EC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8745EC"/>
        <name val="Calibri"/>
        <scheme val="minor"/>
      </font>
      <fill>
        <patternFill patternType="solid">
          <fgColor indexed="64"/>
          <bgColor rgb="FFF8F3FF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medium">
          <color rgb="FF8745EC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8745EC"/>
        <name val="Calibri"/>
        <scheme val="minor"/>
      </font>
      <fill>
        <patternFill patternType="solid">
          <fgColor indexed="64"/>
          <bgColor rgb="FFF8F3FF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medium">
          <color rgb="FF8745EC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8745EC"/>
        <name val="Calibri"/>
        <scheme val="minor"/>
      </font>
      <fill>
        <patternFill patternType="solid">
          <fgColor indexed="64"/>
          <bgColor rgb="FFF8F3FF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medium">
          <color rgb="FF8745EC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Calibri"/>
        <scheme val="minor"/>
      </font>
      <numFmt numFmtId="164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8745EC"/>
        <name val="Calibri"/>
        <scheme val="minor"/>
      </font>
      <fill>
        <patternFill patternType="solid">
          <fgColor indexed="64"/>
          <bgColor rgb="FFF8F3FF"/>
        </patternFill>
      </fill>
      <alignment horizontal="left" vertical="center" textRotation="0" wrapText="0" indent="1" justifyLastLine="0" shrinkToFit="0" readingOrder="0"/>
    </dxf>
    <dxf>
      <font>
        <b/>
        <i val="0"/>
      </font>
      <fill>
        <patternFill>
          <bgColor theme="0" tint="-4.9989318521683403E-2"/>
        </patternFill>
      </fill>
      <border>
        <left style="mediumDashDot">
          <color theme="0"/>
        </left>
        <right style="mediumDashDot">
          <color theme="0"/>
        </right>
        <top style="mediumDashDot">
          <color theme="0" tint="-4.9989318521683403E-2"/>
        </top>
        <bottom style="mediumDashDot">
          <color theme="0"/>
        </bottom>
        <vertical style="mediumDashDot">
          <color theme="0"/>
        </vertical>
        <horizontal style="mediumDashDot">
          <color theme="0"/>
        </horizontal>
      </border>
    </dxf>
    <dxf>
      <font>
        <color rgb="FF8745EC"/>
      </font>
      <fill>
        <patternFill>
          <bgColor rgb="FFF8F3FF"/>
        </patternFill>
      </fill>
    </dxf>
    <dxf>
      <border diagonalUp="1">
        <top style="slantDashDot">
          <color theme="0" tint="-4.9989318521683403E-2"/>
        </top>
        <bottom style="slantDashDot">
          <color theme="0" tint="-4.9989318521683403E-2"/>
        </bottom>
        <diagonal style="slantDashDot">
          <color theme="0" tint="-4.9989318521683403E-2"/>
        </diagonal>
        <vertical/>
        <horizontal style="slantDashDot">
          <color theme="0" tint="-4.9989318521683403E-2"/>
        </horizontal>
      </border>
    </dxf>
  </dxfs>
  <tableStyles count="1" defaultTableStyle="Estilo de tabla 1" defaultPivotStyle="PivotStyleLight16">
    <tableStyle name="Estilo de tabla 1" pivot="0" count="3" xr9:uid="{00000000-0011-0000-FFFF-FFFF00000000}">
      <tableStyleElement type="wholeTable" dxfId="114"/>
      <tableStyleElement type="headerRow" dxfId="113"/>
      <tableStyleElement type="totalRow" dxfId="112"/>
    </tableStyle>
  </tableStyles>
  <colors>
    <mruColors>
      <color rgb="FF8745EC"/>
      <color rgb="FFF8F3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152400</xdr:rowOff>
    </xdr:from>
    <xdr:to>
      <xdr:col>7</xdr:col>
      <xdr:colOff>444500</xdr:colOff>
      <xdr:row>35</xdr:row>
      <xdr:rowOff>76200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42C1A203-A0E1-6F48-B1C2-F7CD253B64D6}"/>
            </a:ext>
          </a:extLst>
        </xdr:cNvPr>
        <xdr:cNvSpPr txBox="1"/>
      </xdr:nvSpPr>
      <xdr:spPr>
        <a:xfrm>
          <a:off x="254000" y="1809750"/>
          <a:ext cx="7534275" cy="6115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En la plantilla de excel de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 comparación de precios entre proveedores le permitirá saber que proveedor le da el mejor precio para cada producto que quiera comprar.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s-AR" sz="1600"/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600"/>
            <a:t> </a:t>
          </a:r>
        </a:p>
        <a:p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Para usarla,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sigue estos pasos: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Complete el nombre de los proveedores en la fila 8.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2.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Complete los productos a comparar en la columna B, la cantidad de cada uno de ellos en la columna C  y los precios a partir de la celda D9.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3.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Opcional: Se pueden agregar datos adicionales que hacen a la decisión del proveedor: 	 	</a:t>
          </a:r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Cantidad de días de entrega</a:t>
          </a:r>
          <a:b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</a:br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		Costo de envío </a:t>
          </a:r>
        </a:p>
        <a:p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		Formas de pago </a:t>
          </a:r>
        </a:p>
        <a:p>
          <a:endParaRPr lang="es-AR" sz="1600" b="0" i="1" u="dbl" strike="noStrike" baseline="0">
            <a:solidFill>
              <a:schemeClr val="tx1">
                <a:lumMod val="65000"/>
                <a:lumOff val="35000"/>
              </a:schemeClr>
            </a:solidFill>
            <a:effectLst/>
            <a:latin typeface="+mn-lt"/>
            <a:ea typeface="+mn-ea"/>
            <a:cs typeface="+mn-cs"/>
          </a:endParaRPr>
        </a:p>
        <a:p>
          <a:endParaRPr lang="es-AR" sz="1600" b="0" i="1" u="dbl" strike="noStrike" baseline="0">
            <a:solidFill>
              <a:schemeClr val="tx1">
                <a:lumMod val="65000"/>
                <a:lumOff val="35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600" b="1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Resultados</a:t>
          </a:r>
          <a:endParaRPr lang="es-A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Se obtiene el precio más bajo, el promedio y el más alto en las columnas J, K y L</a:t>
          </a:r>
        </a:p>
        <a:p>
          <a:pPr marL="0" indent="0"/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Se marcará en amarillo el proveedor que ofrece el precio más bajo total.</a:t>
          </a:r>
        </a:p>
        <a:p>
          <a:pPr marL="0" indent="0"/>
          <a:endParaRPr lang="es-AR" sz="160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s-AR" sz="1600" b="1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Aclaración</a:t>
          </a:r>
        </a:p>
        <a:p>
          <a:pPr marL="0" indent="0"/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En el caso de que haya más de un proveedor con el precio más bajo se marcará en amarillo también.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88899</xdr:colOff>
      <xdr:row>0</xdr:row>
      <xdr:rowOff>117475</xdr:rowOff>
    </xdr:from>
    <xdr:to>
      <xdr:col>6</xdr:col>
      <xdr:colOff>404812</xdr:colOff>
      <xdr:row>2</xdr:row>
      <xdr:rowOff>41275</xdr:rowOff>
    </xdr:to>
    <xdr:sp macro="" textlink="">
      <xdr:nvSpPr>
        <xdr:cNvPr id="6" name="TextBox 12">
          <a:extLst>
            <a:ext uri="{FF2B5EF4-FFF2-40B4-BE49-F238E27FC236}">
              <a16:creationId xmlns:a16="http://schemas.microsoft.com/office/drawing/2014/main" id="{3D72DA6D-FE14-8D4E-BAD4-D34D0D4BF88F}"/>
            </a:ext>
          </a:extLst>
        </xdr:cNvPr>
        <xdr:cNvSpPr txBox="1"/>
      </xdr:nvSpPr>
      <xdr:spPr>
        <a:xfrm>
          <a:off x="362743" y="117475"/>
          <a:ext cx="6626225" cy="733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Comparación de precios entre proveedores</a:t>
          </a:r>
        </a:p>
      </xdr:txBody>
    </xdr:sp>
    <xdr:clientData/>
  </xdr:twoCellAnchor>
  <xdr:twoCellAnchor editAs="absolute">
    <xdr:from>
      <xdr:col>9</xdr:col>
      <xdr:colOff>431800</xdr:colOff>
      <xdr:row>0</xdr:row>
      <xdr:rowOff>117475</xdr:rowOff>
    </xdr:from>
    <xdr:to>
      <xdr:col>10</xdr:col>
      <xdr:colOff>1168400</xdr:colOff>
      <xdr:row>2</xdr:row>
      <xdr:rowOff>41275</xdr:rowOff>
    </xdr:to>
    <xdr:sp macro="" textlink="">
      <xdr:nvSpPr>
        <xdr:cNvPr id="7" name="TextBox 13">
          <a:extLst>
            <a:ext uri="{FF2B5EF4-FFF2-40B4-BE49-F238E27FC236}">
              <a16:creationId xmlns:a16="http://schemas.microsoft.com/office/drawing/2014/main" id="{F529B67E-E90A-F742-A38A-6625C9685237}"/>
            </a:ext>
          </a:extLst>
        </xdr:cNvPr>
        <xdr:cNvSpPr txBox="1"/>
      </xdr:nvSpPr>
      <xdr:spPr>
        <a:xfrm>
          <a:off x="10802144" y="117475"/>
          <a:ext cx="1998662" cy="733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DCF8F0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Larause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1347575</xdr:colOff>
      <xdr:row>2</xdr:row>
      <xdr:rowOff>40957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9BCFA0-E58A-4104-95E7-B7191E1F9D70}"/>
            </a:ext>
          </a:extLst>
        </xdr:cNvPr>
        <xdr:cNvSpPr txBox="1"/>
      </xdr:nvSpPr>
      <xdr:spPr>
        <a:xfrm>
          <a:off x="215900" y="190500"/>
          <a:ext cx="7196455" cy="741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Comparación</a:t>
          </a:r>
          <a:r>
            <a:rPr lang="en-US" sz="2400" b="1" baseline="0">
              <a:solidFill>
                <a:schemeClr val="bg1"/>
              </a:solidFill>
            </a:rPr>
            <a:t> de precios entre proveedores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5</xdr:col>
      <xdr:colOff>1026068</xdr:colOff>
      <xdr:row>1</xdr:row>
      <xdr:rowOff>155780</xdr:rowOff>
    </xdr:from>
    <xdr:to>
      <xdr:col>8</xdr:col>
      <xdr:colOff>28166</xdr:colOff>
      <xdr:row>1</xdr:row>
      <xdr:rowOff>613297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D6B580-5861-4706-B25D-5E91DE62D76E}"/>
            </a:ext>
          </a:extLst>
        </xdr:cNvPr>
        <xdr:cNvSpPr txBox="1"/>
      </xdr:nvSpPr>
      <xdr:spPr>
        <a:xfrm>
          <a:off x="11222172" y="358980"/>
          <a:ext cx="2789964" cy="457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F8F3FF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Larause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3</xdr:col>
      <xdr:colOff>447992</xdr:colOff>
      <xdr:row>2</xdr:row>
      <xdr:rowOff>40957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E25C23-A302-4087-A221-8845A5A7C89C}"/>
            </a:ext>
          </a:extLst>
        </xdr:cNvPr>
        <xdr:cNvSpPr txBox="1"/>
      </xdr:nvSpPr>
      <xdr:spPr>
        <a:xfrm>
          <a:off x="228600" y="190500"/>
          <a:ext cx="7681700" cy="736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Comparación</a:t>
          </a:r>
          <a:r>
            <a:rPr lang="en-US" sz="2400" b="1" baseline="0">
              <a:solidFill>
                <a:schemeClr val="bg1"/>
              </a:solidFill>
            </a:rPr>
            <a:t> de precios entre proveedores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6</xdr:col>
      <xdr:colOff>581568</xdr:colOff>
      <xdr:row>1</xdr:row>
      <xdr:rowOff>155780</xdr:rowOff>
    </xdr:from>
    <xdr:to>
      <xdr:col>8</xdr:col>
      <xdr:colOff>1037816</xdr:colOff>
      <xdr:row>1</xdr:row>
      <xdr:rowOff>613297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182AC0-CF1C-46DE-B3D6-8EA20B5E952F}"/>
            </a:ext>
          </a:extLst>
        </xdr:cNvPr>
        <xdr:cNvSpPr txBox="1"/>
      </xdr:nvSpPr>
      <xdr:spPr>
        <a:xfrm>
          <a:off x="11979818" y="346280"/>
          <a:ext cx="3012123" cy="457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F8F3FF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Larause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3</xdr:col>
      <xdr:colOff>447992</xdr:colOff>
      <xdr:row>2</xdr:row>
      <xdr:rowOff>40957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65C0BF-5C94-4BAC-A24C-B31B96CC5E0A}"/>
            </a:ext>
          </a:extLst>
        </xdr:cNvPr>
        <xdr:cNvSpPr txBox="1"/>
      </xdr:nvSpPr>
      <xdr:spPr>
        <a:xfrm>
          <a:off x="228600" y="190500"/>
          <a:ext cx="7677467" cy="736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Comparación</a:t>
          </a:r>
          <a:r>
            <a:rPr lang="en-US" sz="2400" b="1" baseline="0">
              <a:solidFill>
                <a:schemeClr val="bg1"/>
              </a:solidFill>
            </a:rPr>
            <a:t> de precios entre proveedores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6</xdr:col>
      <xdr:colOff>496901</xdr:colOff>
      <xdr:row>1</xdr:row>
      <xdr:rowOff>155780</xdr:rowOff>
    </xdr:from>
    <xdr:to>
      <xdr:col>8</xdr:col>
      <xdr:colOff>953149</xdr:colOff>
      <xdr:row>1</xdr:row>
      <xdr:rowOff>613297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DA1F3E-9A62-4AAA-9FBF-4AFFAC601BE9}"/>
            </a:ext>
          </a:extLst>
        </xdr:cNvPr>
        <xdr:cNvSpPr txBox="1"/>
      </xdr:nvSpPr>
      <xdr:spPr>
        <a:xfrm>
          <a:off x="11973468" y="346280"/>
          <a:ext cx="3008948" cy="457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F8F3FF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Larause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5</xdr:col>
      <xdr:colOff>1220575</xdr:colOff>
      <xdr:row>2</xdr:row>
      <xdr:rowOff>40957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01AFDE-AD23-4C1A-896D-C85830F84393}"/>
            </a:ext>
          </a:extLst>
        </xdr:cNvPr>
        <xdr:cNvSpPr txBox="1"/>
      </xdr:nvSpPr>
      <xdr:spPr>
        <a:xfrm>
          <a:off x="228600" y="190500"/>
          <a:ext cx="7677467" cy="736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Comparación</a:t>
          </a:r>
          <a:r>
            <a:rPr lang="en-US" sz="2400" b="1" baseline="0">
              <a:solidFill>
                <a:schemeClr val="bg1"/>
              </a:solidFill>
            </a:rPr>
            <a:t> de precios entre proveedores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9</xdr:col>
      <xdr:colOff>200568</xdr:colOff>
      <xdr:row>1</xdr:row>
      <xdr:rowOff>155780</xdr:rowOff>
    </xdr:from>
    <xdr:to>
      <xdr:col>11</xdr:col>
      <xdr:colOff>307566</xdr:colOff>
      <xdr:row>1</xdr:row>
      <xdr:rowOff>613297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0427B5-6374-4545-A312-B5A1961A8E6D}"/>
            </a:ext>
          </a:extLst>
        </xdr:cNvPr>
        <xdr:cNvSpPr txBox="1"/>
      </xdr:nvSpPr>
      <xdr:spPr>
        <a:xfrm>
          <a:off x="11973468" y="346280"/>
          <a:ext cx="3008948" cy="457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F8F3FF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Larause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f49ffa8e94f27b0/Documentos/SENA/PROYECTO/Matriz%20Tecnica/Cuadro%20de%20cotizaciones%20G4.xlsx" TargetMode="External"/><Relationship Id="rId1" Type="http://schemas.openxmlformats.org/officeDocument/2006/relationships/externalLinkPath" Target="Cuadro%20de%20cotizaciones%20G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91uW6-MeIEaKPffJt3zFBObashfV2JxFvPNEozz_Sw0HrFr_-_OtTLXID0635M_e" itemId="01ZQYWSGRILM53JXFE5BALD6MK64VPK6Y3">
      <xxl21:absoluteUrl r:id="rId2"/>
    </xxl21:alternateUrls>
    <sheetNames>
      <sheetName val="Cuadro de cotizacion"/>
      <sheetName val="Mouse admin"/>
      <sheetName val="Teclado admin"/>
      <sheetName val="Monitor admin"/>
      <sheetName val="SERVER Admin"/>
      <sheetName val="DOMINIO"/>
      <sheetName val="HOSTING"/>
      <sheetName val="Teclado Equipo de programacion"/>
      <sheetName val="Mouse equipo de programacion"/>
      <sheetName val="LAPTOP Programadores"/>
      <sheetName val="MONITOR 1 Programadores"/>
      <sheetName val="MONITOR 2 Programadores "/>
      <sheetName val="SOFTWARE (VSCode)"/>
      <sheetName val="SOFTWARE NECESARIO(office2021)"/>
      <sheetName val="SOFTWARE NECESARIO(Antivirus)"/>
      <sheetName val="SOFTWARE NECESARIO(windows)"/>
      <sheetName val="Gestor de BD"/>
      <sheetName val="Pc Doctor"/>
      <sheetName val="Pc  enfermeros"/>
      <sheetName val="EJEMPLO"/>
    </sheetNames>
    <sheetDataSet>
      <sheetData sheetId="0" refreshError="1"/>
      <sheetData sheetId="1">
        <row r="8">
          <cell r="D8" t="str">
            <v>Wireless Logitech Mx Master 3s</v>
          </cell>
          <cell r="G8">
            <v>579900</v>
          </cell>
          <cell r="H8">
            <v>579900</v>
          </cell>
        </row>
        <row r="9">
          <cell r="G9">
            <v>699900</v>
          </cell>
          <cell r="H9">
            <v>699900</v>
          </cell>
        </row>
        <row r="10">
          <cell r="H10">
            <v>334230</v>
          </cell>
        </row>
      </sheetData>
      <sheetData sheetId="2">
        <row r="8">
          <cell r="D8" t="str">
            <v>Ducky One 2 Rgb Tkl Pudding Edition</v>
          </cell>
          <cell r="H8">
            <v>851000</v>
          </cell>
        </row>
        <row r="9">
          <cell r="H9">
            <v>658398</v>
          </cell>
        </row>
        <row r="10">
          <cell r="H10">
            <v>215974</v>
          </cell>
        </row>
      </sheetData>
      <sheetData sheetId="3">
        <row r="8">
          <cell r="G8">
            <v>799900</v>
          </cell>
        </row>
        <row r="9">
          <cell r="G9">
            <v>1379900</v>
          </cell>
        </row>
        <row r="10">
          <cell r="D10" t="str">
            <v xml:space="preserve">Monitor Ultrawide Lg 34 Ips Hrd10 Freesync 75Hz 34Wp500 B </v>
          </cell>
          <cell r="H10">
            <v>1049100</v>
          </cell>
        </row>
      </sheetData>
      <sheetData sheetId="4">
        <row r="8">
          <cell r="D8" t="str">
            <v>Servidor Dell Power Edge T40 Intel Xeon</v>
          </cell>
          <cell r="H8">
            <v>7565800</v>
          </cell>
        </row>
        <row r="9">
          <cell r="H9">
            <v>5799000</v>
          </cell>
        </row>
        <row r="10">
          <cell r="H10">
            <v>4900000</v>
          </cell>
        </row>
      </sheetData>
      <sheetData sheetId="5">
        <row r="8">
          <cell r="H8">
            <v>17000</v>
          </cell>
        </row>
        <row r="9">
          <cell r="H9">
            <v>331500</v>
          </cell>
        </row>
        <row r="10">
          <cell r="H10">
            <v>277729</v>
          </cell>
        </row>
      </sheetData>
      <sheetData sheetId="6">
        <row r="8">
          <cell r="D8" t="str">
            <v>Hosting anual</v>
          </cell>
          <cell r="G8">
            <v>302013</v>
          </cell>
        </row>
        <row r="9">
          <cell r="G9">
            <v>699900</v>
          </cell>
        </row>
        <row r="10">
          <cell r="G10">
            <v>682800</v>
          </cell>
        </row>
      </sheetData>
      <sheetData sheetId="7">
        <row r="8">
          <cell r="D8" t="str">
            <v>Teclado Mecanico Razer Blackwidow V3</v>
          </cell>
          <cell r="G8">
            <v>510300</v>
          </cell>
        </row>
        <row r="9">
          <cell r="G9">
            <v>690000</v>
          </cell>
        </row>
        <row r="10">
          <cell r="H10">
            <v>382161</v>
          </cell>
        </row>
      </sheetData>
      <sheetData sheetId="8">
        <row r="8">
          <cell r="D8" t="str">
            <v>RAZER NAGA X</v>
          </cell>
          <cell r="H8">
            <v>464061</v>
          </cell>
        </row>
        <row r="9">
          <cell r="G9">
            <v>379900</v>
          </cell>
        </row>
        <row r="10">
          <cell r="G10">
            <v>430000</v>
          </cell>
        </row>
      </sheetData>
      <sheetData sheetId="9">
        <row r="8">
          <cell r="D8" t="str">
            <v xml:space="preserve">ThinkPad P16 Gen 2 (16" Intel)
</v>
          </cell>
          <cell r="G8">
            <v>2537.5500000000002</v>
          </cell>
        </row>
        <row r="9">
          <cell r="G9">
            <v>3461.19</v>
          </cell>
        </row>
        <row r="10">
          <cell r="G10">
            <v>13699900</v>
          </cell>
        </row>
      </sheetData>
      <sheetData sheetId="10">
        <row r="8">
          <cell r="D8" t="str">
            <v xml:space="preserve">Monitor LG 29'' Pulgadas 29WQ500 FHD
</v>
          </cell>
          <cell r="H8">
            <v>1420263</v>
          </cell>
        </row>
        <row r="9">
          <cell r="G9">
            <v>899900</v>
          </cell>
        </row>
        <row r="10">
          <cell r="G10">
            <v>899900</v>
          </cell>
        </row>
      </sheetData>
      <sheetData sheetId="11">
        <row r="8">
          <cell r="D8" t="str">
            <v>Monitor Gamer Samsung 24 Odyssey G3 Pivot Freesync Premium 165hz 1ms</v>
          </cell>
          <cell r="G8">
            <v>803800</v>
          </cell>
        </row>
        <row r="9">
          <cell r="G9">
            <v>819900</v>
          </cell>
        </row>
        <row r="10">
          <cell r="H10">
            <v>699900</v>
          </cell>
        </row>
      </sheetData>
      <sheetData sheetId="12">
        <row r="8">
          <cell r="D8" t="str">
            <v xml:space="preserve">Licencia visual studio </v>
          </cell>
          <cell r="H8">
            <v>975000</v>
          </cell>
        </row>
        <row r="9">
          <cell r="H9">
            <v>175500</v>
          </cell>
        </row>
        <row r="10">
          <cell r="D10" t="str">
            <v xml:space="preserve">Licencia visual studio </v>
          </cell>
          <cell r="H10">
            <v>0</v>
          </cell>
        </row>
      </sheetData>
      <sheetData sheetId="13">
        <row r="8">
          <cell r="D8" t="str">
            <v>Office 2021</v>
          </cell>
          <cell r="G8">
            <v>66000</v>
          </cell>
          <cell r="H8">
            <v>66000</v>
          </cell>
        </row>
        <row r="9">
          <cell r="H9">
            <v>99960</v>
          </cell>
        </row>
        <row r="10">
          <cell r="G10">
            <v>119800</v>
          </cell>
          <cell r="H10">
            <v>119800</v>
          </cell>
        </row>
      </sheetData>
      <sheetData sheetId="14">
        <row r="8">
          <cell r="G8">
            <v>128000</v>
          </cell>
        </row>
        <row r="9">
          <cell r="G9">
            <v>179950</v>
          </cell>
        </row>
        <row r="10">
          <cell r="H10">
            <v>135816.06</v>
          </cell>
        </row>
      </sheetData>
      <sheetData sheetId="15">
        <row r="8">
          <cell r="D8" t="str">
            <v>Windows 10 Professional</v>
          </cell>
          <cell r="G8">
            <v>44900</v>
          </cell>
          <cell r="H8">
            <v>44900</v>
          </cell>
        </row>
        <row r="9">
          <cell r="G9">
            <v>22500</v>
          </cell>
          <cell r="H9">
            <v>22500</v>
          </cell>
        </row>
        <row r="10">
          <cell r="G10">
            <v>43000</v>
          </cell>
          <cell r="H10">
            <v>43000</v>
          </cell>
        </row>
      </sheetData>
      <sheetData sheetId="16">
        <row r="8">
          <cell r="D8" t="str">
            <v>Licencia de bases de datos dedicada</v>
          </cell>
          <cell r="H8">
            <v>222870</v>
          </cell>
        </row>
        <row r="9">
          <cell r="H9">
            <v>3866990</v>
          </cell>
        </row>
        <row r="10">
          <cell r="H10" t="str">
            <v>$46,398</v>
          </cell>
        </row>
      </sheetData>
      <sheetData sheetId="17">
        <row r="8">
          <cell r="D8" t="str">
            <v>HP Envy 34 (34 pulgadas)</v>
          </cell>
          <cell r="H8">
            <v>16900000</v>
          </cell>
        </row>
        <row r="9">
          <cell r="H9">
            <v>12916200</v>
          </cell>
        </row>
        <row r="10">
          <cell r="H10">
            <v>14753990</v>
          </cell>
        </row>
      </sheetData>
      <sheetData sheetId="18">
        <row r="8">
          <cell r="D8" t="str">
            <v>Lenovo IdeaCentre AIO 3.</v>
          </cell>
          <cell r="H8">
            <v>1699000</v>
          </cell>
        </row>
        <row r="9">
          <cell r="H9">
            <v>1990000</v>
          </cell>
        </row>
        <row r="10">
          <cell r="H10">
            <v>1799000</v>
          </cell>
        </row>
      </sheetData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omparación_precios" displayName="Comparación_precios" ref="B8:L25" totalsRowCount="1" headerRowDxfId="111" dataDxfId="110">
  <tableColumns count="11">
    <tableColumn id="1" xr3:uid="{00000000-0010-0000-0000-000001000000}" name="PRODUCTO" totalsRowLabel="Total" dataDxfId="109" totalsRowDxfId="48">
      <calculatedColumnFormula>+'[1]LAPTOP Programadores'!$D$8</calculatedColumnFormula>
    </tableColumn>
    <tableColumn id="8" xr3:uid="{00000000-0010-0000-0000-000008000000}" name="CANTIDAD" dataDxfId="108" totalsRowDxfId="47"/>
    <tableColumn id="2" xr3:uid="{00000000-0010-0000-0000-000002000000}" name="PROVEEDOR 1" totalsRowFunction="custom" dataDxfId="107" totalsRowDxfId="46">
      <calculatedColumnFormula>+'[1]LAPTOP Programadores'!$G$8</calculatedColumnFormula>
      <totalsRowFormula>ROUND(SUMPRODUCT(Comparación_precios[[CANTIDAD]:[CANTIDAD]],Comparación_precios[PROVEEDOR 1]),2)</totalsRowFormula>
    </tableColumn>
    <tableColumn id="3" xr3:uid="{00000000-0010-0000-0000-000003000000}" name="PROVEEDOR 2" totalsRowFunction="custom" dataDxfId="106" totalsRowDxfId="45">
      <calculatedColumnFormula>+'[1]LAPTOP Programadores'!$G$9</calculatedColumnFormula>
      <totalsRowFormula>ROUND(SUMPRODUCT(Comparación_precios[[CANTIDAD]:[CANTIDAD]],Comparación_precios[PROVEEDOR 2]),2)</totalsRowFormula>
    </tableColumn>
    <tableColumn id="4" xr3:uid="{00000000-0010-0000-0000-000004000000}" name="PROVEEDOR 3" totalsRowFunction="custom" dataDxfId="105" totalsRowDxfId="44">
      <calculatedColumnFormula>+'[1]LAPTOP Programadores'!$G$10</calculatedColumnFormula>
      <totalsRowFormula>ROUND(SUMPRODUCT(Comparación_precios[[CANTIDAD]:[CANTIDAD]],Comparación_precios[PROVEEDOR 3]),2)</totalsRowFormula>
    </tableColumn>
    <tableColumn id="5" xr3:uid="{00000000-0010-0000-0000-000005000000}" name="PROVEEDOR 4" totalsRowFunction="custom" dataDxfId="104" totalsRowDxfId="43">
      <totalsRowFormula>ROUND(SUMPRODUCT(Comparación_precios[[CANTIDAD]:[CANTIDAD]],Comparación_precios[PROVEEDOR 4]),2)</totalsRowFormula>
    </tableColumn>
    <tableColumn id="6" xr3:uid="{00000000-0010-0000-0000-000006000000}" name="PROVEEDOR 5" totalsRowFunction="custom" dataDxfId="103" totalsRowDxfId="42">
      <totalsRowFormula>ROUND(SUMPRODUCT(Comparación_precios[[CANTIDAD]:[CANTIDAD]],Comparación_precios[PROVEEDOR 5]),2)</totalsRowFormula>
    </tableColumn>
    <tableColumn id="7" xr3:uid="{00000000-0010-0000-0000-000007000000}" name="PROVEEDOR 6" totalsRowFunction="custom" dataDxfId="102" totalsRowDxfId="41">
      <totalsRowFormula>ROUND(SUMPRODUCT(Comparación_precios[[CANTIDAD]:[CANTIDAD]],Comparación_precios[PROVEEDOR 6]),2)</totalsRowFormula>
    </tableColumn>
    <tableColumn id="11" xr3:uid="{00000000-0010-0000-0000-00000B000000}" name="PRECIO MÁS BAJO" dataDxfId="101" totalsRowDxfId="40">
      <calculatedColumnFormula>MIN(Comparación_precios[[#This Row],[PROVEEDOR 1]:[PROVEEDOR 6]])</calculatedColumnFormula>
    </tableColumn>
    <tableColumn id="12" xr3:uid="{00000000-0010-0000-0000-00000C000000}" name="PRECIO PROMEDIO" dataDxfId="100" totalsRowDxfId="39">
      <calculatedColumnFormula>IFERROR(AVERAGE(Comparación_precios[[#This Row],[PROVEEDOR 1]:[PROVEEDOR 6]]),0)</calculatedColumnFormula>
    </tableColumn>
    <tableColumn id="13" xr3:uid="{00000000-0010-0000-0000-00000D000000}" name="PRECIO MÁS ALTO" dataDxfId="99" totalsRowDxfId="38">
      <calculatedColumnFormula>MAX(Comparación_precios[[#This Row],[PROVEEDOR 1]:[PROVEEDOR 6]])</calculatedColumnFormula>
    </tableColumn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48DCA-FCF3-4FC0-B02F-5AF3980ECF07}" name="Comparación_precios2" displayName="Comparación_precios2" ref="B8:L25" totalsRowCount="1" headerRowDxfId="98" dataDxfId="97">
  <tableColumns count="11">
    <tableColumn id="1" xr3:uid="{98CCC73B-679A-4993-A7BC-D9CDE72EF618}" name="PRODUCTO" totalsRowLabel="Total" dataDxfId="96" totalsRowDxfId="59">
      <calculatedColumnFormula>+'[1]SERVER Admin'!$D$8</calculatedColumnFormula>
    </tableColumn>
    <tableColumn id="8" xr3:uid="{53BC4EB5-3A3B-4BFA-9601-09153EFECE1B}" name="CANTIDAD" dataDxfId="95" totalsRowDxfId="58"/>
    <tableColumn id="2" xr3:uid="{CC8E7709-E0D4-44DE-8A10-2DF917B2C519}" name="PROVEEDOR 1" totalsRowFunction="custom" dataDxfId="94" totalsRowDxfId="57">
      <calculatedColumnFormula>+'[1]SERVER Admin'!$H$8</calculatedColumnFormula>
      <totalsRowFormula>ROUND(SUMPRODUCT(Comparación_precios2[[CANTIDAD]:[CANTIDAD]],Comparación_precios2[PROVEEDOR 1]),2)</totalsRowFormula>
    </tableColumn>
    <tableColumn id="3" xr3:uid="{78FC3B85-FFE0-46C3-BDA2-50A80F0F00C3}" name="PROVEEDOR 2" totalsRowFunction="custom" dataDxfId="93" totalsRowDxfId="56">
      <calculatedColumnFormula>+'[1]SERVER Admin'!$H$9</calculatedColumnFormula>
      <totalsRowFormula>ROUND(SUMPRODUCT(Comparación_precios2[[CANTIDAD]:[CANTIDAD]],Comparación_precios2[PROVEEDOR 2]),2)</totalsRowFormula>
    </tableColumn>
    <tableColumn id="4" xr3:uid="{2A44B1D7-FC50-43FA-8D2F-976AFC5F4470}" name="PROVEEDOR 3" totalsRowFunction="custom" dataDxfId="92" totalsRowDxfId="55">
      <calculatedColumnFormula>+'[1]SERVER Admin'!$H$10</calculatedColumnFormula>
      <totalsRowFormula>ROUND(SUMPRODUCT(Comparación_precios2[[CANTIDAD]:[CANTIDAD]],Comparación_precios2[PROVEEDOR 3]),2)</totalsRowFormula>
    </tableColumn>
    <tableColumn id="5" xr3:uid="{2B00F288-1477-4D07-B83C-CFEA0C42E5B4}" name="PROVEEDOR 4" totalsRowFunction="custom" dataDxfId="91" totalsRowDxfId="54">
      <totalsRowFormula>ROUND(SUMPRODUCT(Comparación_precios2[[CANTIDAD]:[CANTIDAD]],Comparación_precios2[PROVEEDOR 4]),2)</totalsRowFormula>
    </tableColumn>
    <tableColumn id="6" xr3:uid="{C1C58F6B-667F-4CA6-BB44-16BF60B733BE}" name="PROVEEDOR 5" totalsRowFunction="custom" dataDxfId="90" totalsRowDxfId="53">
      <totalsRowFormula>ROUND(SUMPRODUCT(Comparación_precios2[[CANTIDAD]:[CANTIDAD]],Comparación_precios2[PROVEEDOR 5]),2)</totalsRowFormula>
    </tableColumn>
    <tableColumn id="7" xr3:uid="{15F918B7-1AEE-41C1-AE9E-8DB81F226EA1}" name="PROVEEDOR 6" totalsRowFunction="custom" dataDxfId="89" totalsRowDxfId="52">
      <totalsRowFormula>ROUND(SUMPRODUCT(Comparación_precios2[[CANTIDAD]:[CANTIDAD]],Comparación_precios2[PROVEEDOR 6]),2)</totalsRowFormula>
    </tableColumn>
    <tableColumn id="11" xr3:uid="{4E248862-D9BB-4559-883B-20C2BFA14629}" name="PRECIO MÁS BAJO" dataDxfId="88" totalsRowDxfId="51">
      <calculatedColumnFormula>MIN(Comparación_precios2[[#This Row],[PROVEEDOR 1]:[PROVEEDOR 6]])</calculatedColumnFormula>
    </tableColumn>
    <tableColumn id="12" xr3:uid="{5FA38258-DA38-4C0F-9E87-DCB20B884C4C}" name="PRECIO PROMEDIO" dataDxfId="87" totalsRowDxfId="50">
      <calculatedColumnFormula>IFERROR(AVERAGE(Comparación_precios2[[#This Row],[PROVEEDOR 1]:[PROVEEDOR 6]]),0)</calculatedColumnFormula>
    </tableColumn>
    <tableColumn id="13" xr3:uid="{CCFF5B27-013C-4C21-83F6-7D498A49675C}" name="PRECIO MÁS ALTO" dataDxfId="86" totalsRowDxfId="49">
      <calculatedColumnFormula>MAX(Comparación_precios2[[#This Row],[PROVEEDOR 1]:[PROVEEDOR 6]])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088922-D300-4BE9-A946-000C136F7852}" name="Comparación_precios24" displayName="Comparación_precios24" ref="B8:L25" totalsRowCount="1" headerRowDxfId="85" dataDxfId="84">
  <tableColumns count="11">
    <tableColumn id="1" xr3:uid="{2644B9DD-7F58-499F-BFB4-BCE261B7F078}" name="PRODUCTO" totalsRowLabel="Total" dataDxfId="83" totalsRowDxfId="37">
      <calculatedColumnFormula>+'[1]Pc Doctor'!$D$8</calculatedColumnFormula>
    </tableColumn>
    <tableColumn id="8" xr3:uid="{310A6689-7CC0-456E-8258-1CFA61966A8B}" name="CANTIDAD" dataDxfId="82" totalsRowDxfId="36"/>
    <tableColumn id="2" xr3:uid="{5E24A94F-0B7B-4285-8E8D-CFD0C36613F9}" name="PROVEEDOR 1" totalsRowFunction="custom" dataDxfId="81" totalsRowDxfId="35">
      <calculatedColumnFormula>+'[1]Pc Doctor'!$H$8</calculatedColumnFormula>
      <totalsRowFormula>ROUND(SUMPRODUCT(Comparación_precios24[[CANTIDAD]:[CANTIDAD]],Comparación_precios24[PROVEEDOR 1]),2)</totalsRowFormula>
    </tableColumn>
    <tableColumn id="3" xr3:uid="{A0589803-CAFA-459C-8F50-56642DB4B4C2}" name="PROVEEDOR 2" totalsRowFunction="custom" dataDxfId="80" totalsRowDxfId="34">
      <calculatedColumnFormula>+'[1]Pc Doctor'!$H$9</calculatedColumnFormula>
      <totalsRowFormula>ROUND(SUMPRODUCT(Comparación_precios24[[CANTIDAD]:[CANTIDAD]],Comparación_precios24[PROVEEDOR 2]),2)</totalsRowFormula>
    </tableColumn>
    <tableColumn id="4" xr3:uid="{77A12824-F021-4FD6-A5E8-6E428765427F}" name="PROVEEDOR 3" totalsRowFunction="custom" dataDxfId="79" totalsRowDxfId="33">
      <calculatedColumnFormula>+'[1]Pc Doctor'!$H$10</calculatedColumnFormula>
      <totalsRowFormula>ROUND(SUMPRODUCT(Comparación_precios24[[CANTIDAD]:[CANTIDAD]],Comparación_precios24[PROVEEDOR 3]),2)</totalsRowFormula>
    </tableColumn>
    <tableColumn id="5" xr3:uid="{2094D26F-12DD-4C98-88B9-BB8FA5F3A185}" name="PROVEEDOR 4" totalsRowFunction="custom" dataDxfId="78" totalsRowDxfId="32">
      <totalsRowFormula>ROUND(SUMPRODUCT(Comparación_precios24[[CANTIDAD]:[CANTIDAD]],Comparación_precios24[PROVEEDOR 4]),2)</totalsRowFormula>
    </tableColumn>
    <tableColumn id="6" xr3:uid="{1C275DBD-FC42-48C6-B8B6-6B6777ED86B9}" name="PROVEEDOR 5" totalsRowFunction="custom" dataDxfId="77" totalsRowDxfId="31">
      <totalsRowFormula>ROUND(SUMPRODUCT(Comparación_precios24[[CANTIDAD]:[CANTIDAD]],Comparación_precios24[PROVEEDOR 5]),2)</totalsRowFormula>
    </tableColumn>
    <tableColumn id="7" xr3:uid="{19002F44-1FCC-4A85-9CD3-A71D05219715}" name="PROVEEDOR 6" totalsRowFunction="custom" dataDxfId="76" totalsRowDxfId="30">
      <totalsRowFormula>ROUND(SUMPRODUCT(Comparación_precios24[[CANTIDAD]:[CANTIDAD]],Comparación_precios24[PROVEEDOR 6]),2)</totalsRowFormula>
    </tableColumn>
    <tableColumn id="11" xr3:uid="{72C7A0CC-2D08-4802-A35F-CB7A59D220BF}" name="PRECIO MÁS BAJO" dataDxfId="75" totalsRowDxfId="29">
      <calculatedColumnFormula>MIN(Comparación_precios24[[#This Row],[PROVEEDOR 1]:[PROVEEDOR 6]])</calculatedColumnFormula>
    </tableColumn>
    <tableColumn id="12" xr3:uid="{4A2DC379-E06B-4A81-AD57-D6E03BBF3929}" name="PRECIO PROMEDIO" dataDxfId="74" totalsRowDxfId="28">
      <calculatedColumnFormula>IFERROR(AVERAGE(Comparación_precios24[[#This Row],[PROVEEDOR 1]:[PROVEEDOR 6]]),0)</calculatedColumnFormula>
    </tableColumn>
    <tableColumn id="13" xr3:uid="{AB1B9274-9B47-4C5D-8355-96CE7E66E711}" name="PRECIO MÁS ALTO" dataDxfId="73" totalsRowDxfId="27">
      <calculatedColumnFormula>MAX(Comparación_precios24[[#This Row],[PROVEEDOR 1]:[PROVEEDOR 6]])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91A508-A5AF-433C-87A4-A94F83DCAE7F}" name="Comparación_precios245" displayName="Comparación_precios245" ref="B8:L25" totalsRowCount="1" headerRowDxfId="72" dataDxfId="71">
  <tableColumns count="11">
    <tableColumn id="1" xr3:uid="{5F786962-E352-49C0-8E90-BEAC71E418C3}" name="PRODUCTO" totalsRowLabel="Total" dataDxfId="70" totalsRowDxfId="10">
      <calculatedColumnFormula>+'[1]Pc  enfermeros'!$D$8</calculatedColumnFormula>
    </tableColumn>
    <tableColumn id="8" xr3:uid="{658546B5-C402-40AC-ADD8-8C9CE32B5241}" name="CANTIDAD" dataDxfId="69" totalsRowDxfId="9"/>
    <tableColumn id="2" xr3:uid="{E6FC38F3-8C30-4964-9DD0-50E28E5023B3}" name="PROVEEDOR 1" totalsRowFunction="custom" dataDxfId="68" totalsRowDxfId="8">
      <calculatedColumnFormula>+'[1]Pc  enfermeros'!$H$8</calculatedColumnFormula>
      <totalsRowFormula>ROUND(SUMPRODUCT(Comparación_precios245[[CANTIDAD]:[CANTIDAD]],Comparación_precios245[PROVEEDOR 1]),2)</totalsRowFormula>
    </tableColumn>
    <tableColumn id="3" xr3:uid="{A847EC82-DBCC-42B4-BE91-B8328A6FB98F}" name="PROVEEDOR 2" totalsRowFunction="custom" dataDxfId="67" totalsRowDxfId="7">
      <calculatedColumnFormula>+'[1]Pc  enfermeros'!$H$9</calculatedColumnFormula>
      <totalsRowFormula>ROUND(SUMPRODUCT(Comparación_precios245[[CANTIDAD]:[CANTIDAD]],Comparación_precios245[PROVEEDOR 2]),2)</totalsRowFormula>
    </tableColumn>
    <tableColumn id="4" xr3:uid="{5F44DAC0-819F-4F77-B6BE-FDC05967E244}" name="PROVEEDOR 3" totalsRowFunction="custom" dataDxfId="66" totalsRowDxfId="6">
      <calculatedColumnFormula>+'[1]Pc  enfermeros'!$H$10</calculatedColumnFormula>
      <totalsRowFormula>ROUND(SUMPRODUCT(Comparación_precios245[[CANTIDAD]:[CANTIDAD]],Comparación_precios245[PROVEEDOR 3]),2)</totalsRowFormula>
    </tableColumn>
    <tableColumn id="5" xr3:uid="{2C108DAB-514F-48EA-8F15-B77B4FF8AA23}" name="PROVEEDOR 4" totalsRowFunction="custom" dataDxfId="65" totalsRowDxfId="5">
      <totalsRowFormula>ROUND(SUMPRODUCT(Comparación_precios245[[CANTIDAD]:[CANTIDAD]],Comparación_precios245[PROVEEDOR 4]),2)</totalsRowFormula>
    </tableColumn>
    <tableColumn id="6" xr3:uid="{0A437140-9F2C-4800-B11F-4A3D47740BB4}" name="PROVEEDOR 5" totalsRowFunction="custom" dataDxfId="64" totalsRowDxfId="4">
      <totalsRowFormula>ROUND(SUMPRODUCT(Comparación_precios245[[CANTIDAD]:[CANTIDAD]],Comparación_precios245[PROVEEDOR 5]),2)</totalsRowFormula>
    </tableColumn>
    <tableColumn id="7" xr3:uid="{CF3AB311-0F5C-4C65-A3D9-90DA8010D15E}" name="PROVEEDOR 6" totalsRowFunction="custom" dataDxfId="63" totalsRowDxfId="3">
      <totalsRowFormula>ROUND(SUMPRODUCT(Comparación_precios245[[CANTIDAD]:[CANTIDAD]],Comparación_precios245[PROVEEDOR 6]),2)</totalsRowFormula>
    </tableColumn>
    <tableColumn id="11" xr3:uid="{6CFEF737-CD39-4725-84E5-D16BB507FFD1}" name="PRECIO MÁS BAJO" dataDxfId="62" totalsRowDxfId="2">
      <calculatedColumnFormula>MIN(Comparación_precios245[[#This Row],[PROVEEDOR 1]:[PROVEEDOR 6]])</calculatedColumnFormula>
    </tableColumn>
    <tableColumn id="12" xr3:uid="{6586CF8F-B772-47D6-B8D2-16FBB7D2AD3F}" name="PRECIO PROMEDIO" dataDxfId="61" totalsRowDxfId="1">
      <calculatedColumnFormula>IFERROR(AVERAGE(Comparación_precios245[[#This Row],[PROVEEDOR 1]:[PROVEEDOR 6]]),0)</calculatedColumnFormula>
    </tableColumn>
    <tableColumn id="13" xr3:uid="{89E40224-8EAD-4C66-AC40-EBFD8431DE40}" name="PRECIO MÁS ALTO" dataDxfId="60" totalsRowDxfId="0">
      <calculatedColumnFormula>MAX(Comparación_precios245[[#This Row],[PROVEEDOR 1]:[PROVEEDOR 6]])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"/>
  <sheetViews>
    <sheetView showGridLines="0" topLeftCell="A2" zoomScale="80" zoomScaleNormal="80" workbookViewId="0">
      <selection activeCell="H6" sqref="H6"/>
    </sheetView>
  </sheetViews>
  <sheetFormatPr baseColWidth="10" defaultColWidth="12" defaultRowHeight="15.75" x14ac:dyDescent="0.25"/>
  <cols>
    <col min="1" max="1" width="4.83203125" style="18" customWidth="1"/>
    <col min="2" max="11" width="22.1640625" style="18" customWidth="1"/>
    <col min="12" max="16384" width="12" style="18"/>
  </cols>
  <sheetData>
    <row r="1" spans="2:11" ht="9.9499999999999993" customHeight="1" x14ac:dyDescent="0.25"/>
    <row r="2" spans="2:11" customFormat="1" ht="54.95" customHeight="1" x14ac:dyDescent="0.2">
      <c r="B2" s="5"/>
      <c r="C2" s="5"/>
      <c r="D2" s="5"/>
      <c r="E2" s="5"/>
      <c r="F2" s="5"/>
      <c r="G2" s="5"/>
      <c r="H2" s="5"/>
      <c r="I2" s="5"/>
      <c r="J2" s="5"/>
      <c r="K2" s="5"/>
    </row>
    <row r="3" spans="2:11" ht="24" customHeight="1" x14ac:dyDescent="0.25"/>
    <row r="4" spans="2:11" ht="42" customHeight="1" x14ac:dyDescent="0.25">
      <c r="B4" s="19" t="s">
        <v>0</v>
      </c>
      <c r="C4" s="20"/>
      <c r="D4" s="20"/>
      <c r="E4" s="20"/>
      <c r="F4" s="20"/>
      <c r="G4" s="20"/>
      <c r="H4" s="20"/>
      <c r="I4" s="20"/>
      <c r="J4" s="20"/>
      <c r="K4" s="20"/>
    </row>
    <row r="5" spans="2:11" ht="15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42"/>
  <sheetViews>
    <sheetView showGridLines="0" topLeftCell="A8" zoomScale="90" zoomScaleNormal="90" workbookViewId="0">
      <selection activeCell="B15" sqref="B15"/>
    </sheetView>
  </sheetViews>
  <sheetFormatPr baseColWidth="10" defaultColWidth="9.33203125" defaultRowHeight="12.75" x14ac:dyDescent="0.2"/>
  <cols>
    <col min="1" max="1" width="4" style="1" customWidth="1"/>
    <col min="2" max="2" width="110.83203125" style="1" bestFit="1" customWidth="1"/>
    <col min="3" max="3" width="31.5" style="1" customWidth="1"/>
    <col min="4" max="5" width="22.6640625" style="1" bestFit="1" customWidth="1"/>
    <col min="6" max="6" width="25.5" style="1" bestFit="1" customWidth="1"/>
    <col min="7" max="8" width="22.33203125" style="1" bestFit="1" customWidth="1"/>
    <col min="9" max="9" width="22.33203125" style="1" customWidth="1"/>
    <col min="10" max="10" width="27.33203125" style="1" customWidth="1"/>
    <col min="11" max="11" width="23.5" style="3" customWidth="1"/>
    <col min="12" max="12" width="24.83203125" style="3" customWidth="1"/>
    <col min="13" max="13" width="20.5" style="1" customWidth="1"/>
    <col min="14" max="14" width="20.6640625" style="1" customWidth="1"/>
    <col min="15" max="16384" width="9.33203125" style="1"/>
  </cols>
  <sheetData>
    <row r="1" spans="2:14" ht="15" customHeight="1" x14ac:dyDescent="0.2"/>
    <row r="2" spans="2:14" customFormat="1" ht="54.95" customHeight="1" x14ac:dyDescent="0.2">
      <c r="B2" s="5"/>
      <c r="C2" s="5"/>
      <c r="D2" s="5"/>
      <c r="E2" s="5"/>
      <c r="F2" s="5"/>
      <c r="G2" s="5"/>
      <c r="H2" s="5"/>
      <c r="I2" s="30"/>
      <c r="J2" s="30"/>
      <c r="K2" s="30"/>
      <c r="L2" s="30"/>
    </row>
    <row r="3" spans="2:14" ht="15" customHeight="1" x14ac:dyDescent="0.2"/>
    <row r="4" spans="2:14" ht="15" customHeight="1" x14ac:dyDescent="0.2"/>
    <row r="5" spans="2:14" ht="28.5" x14ac:dyDescent="0.2">
      <c r="B5" s="16" t="s">
        <v>1</v>
      </c>
      <c r="C5" s="16"/>
    </row>
    <row r="6" spans="2:14" ht="29.25" thickBot="1" x14ac:dyDescent="0.25">
      <c r="B6" s="17" t="s">
        <v>2</v>
      </c>
      <c r="C6" s="17"/>
      <c r="D6" s="16"/>
      <c r="E6" s="16"/>
      <c r="F6" s="16"/>
      <c r="G6" s="16"/>
      <c r="H6" s="16"/>
      <c r="I6" s="16"/>
      <c r="J6" s="4"/>
      <c r="K6" s="4"/>
      <c r="L6" s="4"/>
      <c r="M6" s="4"/>
      <c r="N6" s="4"/>
    </row>
    <row r="7" spans="2:14" ht="24.75" customHeight="1" thickBot="1" x14ac:dyDescent="0.25">
      <c r="J7" s="62" t="s">
        <v>3</v>
      </c>
      <c r="K7" s="63"/>
      <c r="L7" s="64"/>
    </row>
    <row r="8" spans="2:14" s="6" customFormat="1" ht="46.5" customHeight="1" thickBot="1" x14ac:dyDescent="0.3">
      <c r="B8" s="31" t="s">
        <v>4</v>
      </c>
      <c r="C8" s="31" t="s">
        <v>5</v>
      </c>
      <c r="D8" s="31" t="s">
        <v>6</v>
      </c>
      <c r="E8" s="31" t="s">
        <v>7</v>
      </c>
      <c r="F8" s="31" t="s">
        <v>8</v>
      </c>
      <c r="G8" s="31" t="s">
        <v>9</v>
      </c>
      <c r="H8" s="31" t="s">
        <v>10</v>
      </c>
      <c r="I8" s="31" t="s">
        <v>11</v>
      </c>
      <c r="J8" s="11" t="s">
        <v>12</v>
      </c>
      <c r="K8" s="10" t="s">
        <v>13</v>
      </c>
      <c r="L8" s="12" t="s">
        <v>14</v>
      </c>
    </row>
    <row r="9" spans="2:14" s="7" customFormat="1" ht="19.5" thickBot="1" x14ac:dyDescent="0.35">
      <c r="B9" s="56" t="str">
        <f>+'[1]LAPTOP Programadores'!$D$8</f>
        <v xml:space="preserve">ThinkPad P16 Gen 2 (16" Intel)
</v>
      </c>
      <c r="C9" s="57">
        <v>4</v>
      </c>
      <c r="D9" s="9">
        <f>+'[1]LAPTOP Programadores'!$G$8</f>
        <v>2537.5500000000002</v>
      </c>
      <c r="E9" s="9">
        <f>+'[1]LAPTOP Programadores'!$G$9</f>
        <v>3461.19</v>
      </c>
      <c r="F9" s="9">
        <f>+'[1]LAPTOP Programadores'!$G$10</f>
        <v>13699900</v>
      </c>
      <c r="G9" s="9"/>
      <c r="H9" s="9"/>
      <c r="I9" s="9"/>
      <c r="J9" s="13">
        <f>MIN(Comparación_precios[[#This Row],[PROVEEDOR 1]:[PROVEEDOR 6]])</f>
        <v>2537.5500000000002</v>
      </c>
      <c r="K9" s="8">
        <f>IFERROR(AVERAGE(Comparación_precios[[#This Row],[PROVEEDOR 1]:[PROVEEDOR 6]]),0)</f>
        <v>4568632.9133333331</v>
      </c>
      <c r="L9" s="14">
        <f>MAX(Comparación_precios[[#This Row],[PROVEEDOR 1]:[PROVEEDOR 6]])</f>
        <v>13699900</v>
      </c>
    </row>
    <row r="10" spans="2:14" s="7" customFormat="1" ht="19.5" thickBot="1" x14ac:dyDescent="0.35">
      <c r="B10" s="56" t="str">
        <f>+'[1]MONITOR 1 Programadores'!$D$8</f>
        <v xml:space="preserve">Monitor LG 29'' Pulgadas 29WQ500 FHD
</v>
      </c>
      <c r="C10" s="57">
        <v>4</v>
      </c>
      <c r="D10" s="9">
        <f>+'[1]MONITOR 1 Programadores'!$H$8</f>
        <v>1420263</v>
      </c>
      <c r="E10" s="9">
        <f>+'[1]MONITOR 1 Programadores'!$G$9</f>
        <v>899900</v>
      </c>
      <c r="F10" s="9">
        <f>+'[1]MONITOR 1 Programadores'!$G$10</f>
        <v>899900</v>
      </c>
      <c r="G10" s="9"/>
      <c r="H10" s="9"/>
      <c r="I10" s="9"/>
      <c r="J10" s="13">
        <f>MIN(Comparación_precios[[#This Row],[PROVEEDOR 1]:[PROVEEDOR 6]])</f>
        <v>899900</v>
      </c>
      <c r="K10" s="8">
        <f>IFERROR(AVERAGE(Comparación_precios[[#This Row],[PROVEEDOR 1]:[PROVEEDOR 6]]),0)</f>
        <v>1073354.3333333333</v>
      </c>
      <c r="L10" s="14">
        <f>MAX(Comparación_precios[[#This Row],[PROVEEDOR 1]:[PROVEEDOR 6]])</f>
        <v>1420263</v>
      </c>
    </row>
    <row r="11" spans="2:14" s="7" customFormat="1" ht="19.5" thickBot="1" x14ac:dyDescent="0.35">
      <c r="B11" s="56" t="str">
        <f>+'[1]MONITOR 2 Programadores '!$D$8</f>
        <v>Monitor Gamer Samsung 24 Odyssey G3 Pivot Freesync Premium 165hz 1ms</v>
      </c>
      <c r="C11" s="57">
        <v>4</v>
      </c>
      <c r="D11" s="9">
        <f>+'[1]MONITOR 2 Programadores '!$G$8</f>
        <v>803800</v>
      </c>
      <c r="E11" s="58">
        <f>+'[1]MONITOR 2 Programadores '!$G$9</f>
        <v>819900</v>
      </c>
      <c r="F11" s="9">
        <f>+'[1]MONITOR 2 Programadores '!$H$10</f>
        <v>699900</v>
      </c>
      <c r="G11" s="9"/>
      <c r="H11" s="9"/>
      <c r="I11" s="9"/>
      <c r="J11" s="13">
        <f>MIN(Comparación_precios[[#This Row],[PROVEEDOR 1]:[PROVEEDOR 6]])</f>
        <v>699900</v>
      </c>
      <c r="K11" s="8">
        <f>IFERROR(AVERAGE(Comparación_precios[[#This Row],[PROVEEDOR 1]:[PROVEEDOR 6]]),0)</f>
        <v>774533.33333333337</v>
      </c>
      <c r="L11" s="14">
        <f>MAX(Comparación_precios[[#This Row],[PROVEEDOR 1]:[PROVEEDOR 6]])</f>
        <v>819900</v>
      </c>
    </row>
    <row r="12" spans="2:14" s="7" customFormat="1" ht="19.5" thickBot="1" x14ac:dyDescent="0.35">
      <c r="B12" s="56" t="str">
        <f>+'[1]SOFTWARE NECESARIO(office2021)'!$D$8</f>
        <v>Office 2021</v>
      </c>
      <c r="C12" s="57">
        <v>4</v>
      </c>
      <c r="D12" s="9">
        <f>+'[1]SOFTWARE NECESARIO(office2021)'!$G$8</f>
        <v>66000</v>
      </c>
      <c r="E12" s="9">
        <f>+'[1]SOFTWARE NECESARIO(office2021)'!$H$9</f>
        <v>99960</v>
      </c>
      <c r="F12" s="9">
        <f>+'[1]SOFTWARE NECESARIO(office2021)'!$G$10</f>
        <v>119800</v>
      </c>
      <c r="G12" s="9"/>
      <c r="H12" s="9"/>
      <c r="I12" s="9"/>
      <c r="J12" s="13">
        <f>MIN(Comparación_precios[[#This Row],[PROVEEDOR 1]:[PROVEEDOR 6]])</f>
        <v>66000</v>
      </c>
      <c r="K12" s="8">
        <f>IFERROR(AVERAGE(Comparación_precios[[#This Row],[PROVEEDOR 1]:[PROVEEDOR 6]]),0)</f>
        <v>95253.333333333328</v>
      </c>
      <c r="L12" s="14">
        <f>MAX(Comparación_precios[[#This Row],[PROVEEDOR 1]:[PROVEEDOR 6]])</f>
        <v>119800</v>
      </c>
    </row>
    <row r="13" spans="2:14" s="7" customFormat="1" ht="19.5" thickBot="1" x14ac:dyDescent="0.35">
      <c r="B13" s="56" t="str">
        <f>+'[1]SOFTWARE NECESARIO(windows)'!$D$8</f>
        <v>Windows 10 Professional</v>
      </c>
      <c r="C13" s="57">
        <v>4</v>
      </c>
      <c r="D13" s="9">
        <f>+'[1]SOFTWARE NECESARIO(windows)'!$G$8</f>
        <v>44900</v>
      </c>
      <c r="E13" s="9">
        <f>+'[1]SOFTWARE NECESARIO(windows)'!$G$9</f>
        <v>22500</v>
      </c>
      <c r="F13" s="9">
        <f>+'[1]SOFTWARE NECESARIO(windows)'!$G$10</f>
        <v>43000</v>
      </c>
      <c r="G13" s="9"/>
      <c r="H13" s="9"/>
      <c r="I13" s="9"/>
      <c r="J13" s="13">
        <f>MIN(Comparación_precios[[#This Row],[PROVEEDOR 1]:[PROVEEDOR 6]])</f>
        <v>22500</v>
      </c>
      <c r="K13" s="8">
        <f>IFERROR(AVERAGE(Comparación_precios[[#This Row],[PROVEEDOR 1]:[PROVEEDOR 6]]),0)</f>
        <v>36800</v>
      </c>
      <c r="L13" s="14">
        <f>MAX(Comparación_precios[[#This Row],[PROVEEDOR 1]:[PROVEEDOR 6]])</f>
        <v>44900</v>
      </c>
    </row>
    <row r="14" spans="2:14" s="7" customFormat="1" ht="19.5" thickBot="1" x14ac:dyDescent="0.35">
      <c r="B14" s="56" t="str">
        <f>+'[1]SOFTWARE (VSCode)'!$D$8</f>
        <v xml:space="preserve">Licencia visual studio </v>
      </c>
      <c r="C14" s="57">
        <v>4</v>
      </c>
      <c r="D14" s="9">
        <f>+'[1]SOFTWARE (VSCode)'!$H$8</f>
        <v>975000</v>
      </c>
      <c r="E14" s="9">
        <f>+'[1]SOFTWARE (VSCode)'!$H$9</f>
        <v>175500</v>
      </c>
      <c r="F14" s="9">
        <f>+'[1]SOFTWARE (VSCode)'!$H$10</f>
        <v>0</v>
      </c>
      <c r="G14" s="9"/>
      <c r="H14" s="9"/>
      <c r="I14" s="9"/>
      <c r="J14" s="27">
        <f>MIN(Comparación_precios[[#This Row],[PROVEEDOR 1]:[PROVEEDOR 6]])</f>
        <v>0</v>
      </c>
      <c r="K14" s="28">
        <f>IFERROR(AVERAGE(Comparación_precios[[#This Row],[PROVEEDOR 1]:[PROVEEDOR 6]]),0)</f>
        <v>383500</v>
      </c>
      <c r="L14" s="29">
        <f>MAX(Comparación_precios[[#This Row],[PROVEEDOR 1]:[PROVEEDOR 6]])</f>
        <v>975000</v>
      </c>
    </row>
    <row r="15" spans="2:14" s="2" customFormat="1" ht="19.5" thickBot="1" x14ac:dyDescent="0.35">
      <c r="B15" s="59" t="str">
        <f>+'[1]Mouse equipo de programacion'!$D$8</f>
        <v>RAZER NAGA X</v>
      </c>
      <c r="C15" s="57">
        <v>4</v>
      </c>
      <c r="D15" s="9">
        <f>+'[1]Mouse equipo de programacion'!$H$8</f>
        <v>464061</v>
      </c>
      <c r="E15" s="44">
        <f>+'[1]Mouse equipo de programacion'!$G$9</f>
        <v>379900</v>
      </c>
      <c r="F15" s="44">
        <f>+'[1]Mouse equipo de programacion'!$G$10</f>
        <v>430000</v>
      </c>
      <c r="G15" s="44"/>
      <c r="H15" s="44"/>
      <c r="I15" s="44"/>
      <c r="J15" s="27">
        <f>MIN(Comparación_precios[[#This Row],[PROVEEDOR 1]:[PROVEEDOR 6]])</f>
        <v>379900</v>
      </c>
      <c r="K15" s="8">
        <f>IFERROR(AVERAGE(Comparación_precios[[#This Row],[PROVEEDOR 1]:[PROVEEDOR 6]]),0)</f>
        <v>424653.66666666669</v>
      </c>
      <c r="L15" s="14">
        <f>MAX(Comparación_precios[[#This Row],[PROVEEDOR 1]:[PROVEEDOR 6]])</f>
        <v>464061</v>
      </c>
    </row>
    <row r="16" spans="2:14" s="2" customFormat="1" ht="19.5" thickBot="1" x14ac:dyDescent="0.35">
      <c r="B16" s="59" t="str">
        <f>+'[1]Teclado Equipo de programacion'!$D$8</f>
        <v>Teclado Mecanico Razer Blackwidow V3</v>
      </c>
      <c r="C16" s="57">
        <v>4</v>
      </c>
      <c r="D16" s="9">
        <f>+'[1]Teclado Equipo de programacion'!$G$8</f>
        <v>510300</v>
      </c>
      <c r="E16" s="44">
        <f>+'[1]Teclado Equipo de programacion'!$G$9</f>
        <v>690000</v>
      </c>
      <c r="F16" s="44">
        <f>+'[1]Teclado Equipo de programacion'!$H$10</f>
        <v>382161</v>
      </c>
      <c r="G16" s="44"/>
      <c r="H16" s="44"/>
      <c r="I16" s="44"/>
      <c r="J16" s="27">
        <f>MIN(Comparación_precios[[#This Row],[PROVEEDOR 1]:[PROVEEDOR 6]])</f>
        <v>382161</v>
      </c>
      <c r="K16" s="8">
        <f>IFERROR(AVERAGE(Comparación_precios[[#This Row],[PROVEEDOR 1]:[PROVEEDOR 6]]),0)</f>
        <v>527487</v>
      </c>
      <c r="L16" s="14">
        <f>MAX(Comparación_precios[[#This Row],[PROVEEDOR 1]:[PROVEEDOR 6]])</f>
        <v>690000</v>
      </c>
    </row>
    <row r="17" spans="2:12" s="2" customFormat="1" ht="19.5" thickBot="1" x14ac:dyDescent="0.35">
      <c r="B17" s="44"/>
      <c r="C17" s="57"/>
      <c r="D17" s="9"/>
      <c r="E17" s="44"/>
      <c r="F17" s="44"/>
      <c r="G17" s="44"/>
      <c r="H17" s="44"/>
      <c r="I17" s="44"/>
      <c r="J17" s="27">
        <f>MIN(Comparación_precios[[#This Row],[PROVEEDOR 1]:[PROVEEDOR 6]])</f>
        <v>0</v>
      </c>
      <c r="K17" s="28">
        <f>IFERROR(AVERAGE(Comparación_precios[[#This Row],[PROVEEDOR 1]:[PROVEEDOR 6]]),0)</f>
        <v>0</v>
      </c>
      <c r="L17" s="29">
        <f>MAX(Comparación_precios[[#This Row],[PROVEEDOR 1]:[PROVEEDOR 6]])</f>
        <v>0</v>
      </c>
    </row>
    <row r="18" spans="2:12" s="2" customFormat="1" ht="19.5" thickBot="1" x14ac:dyDescent="0.35">
      <c r="B18" s="41"/>
      <c r="C18" s="57"/>
      <c r="D18" s="9"/>
      <c r="E18" s="43"/>
      <c r="F18" s="43"/>
      <c r="G18" s="43"/>
      <c r="H18" s="41"/>
      <c r="I18" s="55"/>
      <c r="J18" s="27">
        <f>MIN(Comparación_precios[[#This Row],[PROVEEDOR 1]:[PROVEEDOR 6]])</f>
        <v>0</v>
      </c>
      <c r="K18" s="8">
        <f>IFERROR(AVERAGE(Comparación_precios[[#This Row],[PROVEEDOR 1]:[PROVEEDOR 6]]),0)</f>
        <v>0</v>
      </c>
      <c r="L18" s="14">
        <f>MAX(Comparación_precios[[#This Row],[PROVEEDOR 1]:[PROVEEDOR 6]])</f>
        <v>0</v>
      </c>
    </row>
    <row r="19" spans="2:12" s="2" customFormat="1" ht="19.5" thickBot="1" x14ac:dyDescent="0.35">
      <c r="B19" s="41"/>
      <c r="C19" s="57"/>
      <c r="D19" s="9"/>
      <c r="E19" s="43"/>
      <c r="F19" s="43"/>
      <c r="G19" s="43"/>
      <c r="H19" s="41"/>
      <c r="I19" s="55"/>
      <c r="J19" s="27">
        <f>MIN(Comparación_precios[[#This Row],[PROVEEDOR 1]:[PROVEEDOR 6]])</f>
        <v>0</v>
      </c>
      <c r="K19" s="8">
        <f>IFERROR(AVERAGE(Comparación_precios[[#This Row],[PROVEEDOR 1]:[PROVEEDOR 6]]),0)</f>
        <v>0</v>
      </c>
      <c r="L19" s="14">
        <f>MAX(Comparación_precios[[#This Row],[PROVEEDOR 1]:[PROVEEDOR 6]])</f>
        <v>0</v>
      </c>
    </row>
    <row r="20" spans="2:12" s="2" customFormat="1" ht="19.5" thickBot="1" x14ac:dyDescent="0.35">
      <c r="B20" s="41"/>
      <c r="C20" s="42"/>
      <c r="D20" s="9"/>
      <c r="E20" s="43"/>
      <c r="F20" s="43"/>
      <c r="G20" s="43"/>
      <c r="H20" s="41"/>
      <c r="I20" s="55"/>
      <c r="J20" s="27">
        <f>MIN(Comparación_precios[[#This Row],[PROVEEDOR 1]:[PROVEEDOR 6]])</f>
        <v>0</v>
      </c>
      <c r="K20" s="8">
        <f>IFERROR(AVERAGE(Comparación_precios[[#This Row],[PROVEEDOR 1]:[PROVEEDOR 6]]),0)</f>
        <v>0</v>
      </c>
      <c r="L20" s="14">
        <f>MAX(Comparación_precios[[#This Row],[PROVEEDOR 1]:[PROVEEDOR 6]])</f>
        <v>0</v>
      </c>
    </row>
    <row r="21" spans="2:12" s="2" customFormat="1" ht="19.5" thickBot="1" x14ac:dyDescent="0.35">
      <c r="B21" s="41"/>
      <c r="C21" s="42"/>
      <c r="D21" s="9"/>
      <c r="E21" s="43"/>
      <c r="F21" s="43"/>
      <c r="G21" s="43"/>
      <c r="H21" s="41"/>
      <c r="I21" s="55"/>
      <c r="J21" s="27">
        <f>MIN(Comparación_precios[[#This Row],[PROVEEDOR 1]:[PROVEEDOR 6]])</f>
        <v>0</v>
      </c>
      <c r="K21" s="8">
        <f>IFERROR(AVERAGE(Comparación_precios[[#This Row],[PROVEEDOR 1]:[PROVEEDOR 6]]),0)</f>
        <v>0</v>
      </c>
      <c r="L21" s="14">
        <f>MAX(Comparación_precios[[#This Row],[PROVEEDOR 1]:[PROVEEDOR 6]])</f>
        <v>0</v>
      </c>
    </row>
    <row r="22" spans="2:12" s="2" customFormat="1" ht="19.5" thickBot="1" x14ac:dyDescent="0.35">
      <c r="B22" s="41"/>
      <c r="C22" s="42"/>
      <c r="D22" s="9"/>
      <c r="E22" s="43"/>
      <c r="F22" s="43"/>
      <c r="G22" s="43"/>
      <c r="H22" s="41"/>
      <c r="I22" s="55"/>
      <c r="J22" s="27">
        <f>MIN(Comparación_precios[[#This Row],[PROVEEDOR 1]:[PROVEEDOR 6]])</f>
        <v>0</v>
      </c>
      <c r="K22" s="8">
        <f>IFERROR(AVERAGE(Comparación_precios[[#This Row],[PROVEEDOR 1]:[PROVEEDOR 6]]),0)</f>
        <v>0</v>
      </c>
      <c r="L22" s="14">
        <f>MAX(Comparación_precios[[#This Row],[PROVEEDOR 1]:[PROVEEDOR 6]])</f>
        <v>0</v>
      </c>
    </row>
    <row r="23" spans="2:12" s="2" customFormat="1" ht="19.5" thickBot="1" x14ac:dyDescent="0.35">
      <c r="B23" s="41"/>
      <c r="C23" s="42"/>
      <c r="D23" s="9"/>
      <c r="E23" s="43"/>
      <c r="F23" s="43"/>
      <c r="G23" s="43"/>
      <c r="H23" s="41"/>
      <c r="I23" s="55"/>
      <c r="J23" s="27">
        <f>MIN(Comparación_precios[[#This Row],[PROVEEDOR 1]:[PROVEEDOR 6]])</f>
        <v>0</v>
      </c>
      <c r="K23" s="8">
        <f>IFERROR(AVERAGE(Comparación_precios[[#This Row],[PROVEEDOR 1]:[PROVEEDOR 6]]),0)</f>
        <v>0</v>
      </c>
      <c r="L23" s="14">
        <f>MAX(Comparación_precios[[#This Row],[PROVEEDOR 1]:[PROVEEDOR 6]])</f>
        <v>0</v>
      </c>
    </row>
    <row r="24" spans="2:12" s="2" customFormat="1" ht="19.5" thickBot="1" x14ac:dyDescent="0.35">
      <c r="B24" s="41"/>
      <c r="C24" s="42"/>
      <c r="D24" s="9"/>
      <c r="E24" s="43"/>
      <c r="F24" s="43"/>
      <c r="G24" s="43"/>
      <c r="H24" s="41"/>
      <c r="I24" s="55"/>
      <c r="J24" s="27">
        <f>MIN(Comparación_precios[[#This Row],[PROVEEDOR 1]:[PROVEEDOR 6]])</f>
        <v>0</v>
      </c>
      <c r="K24" s="8">
        <f>IFERROR(AVERAGE(Comparación_precios[[#This Row],[PROVEEDOR 1]:[PROVEEDOR 6]]),0)</f>
        <v>0</v>
      </c>
      <c r="L24" s="14">
        <f>MAX(Comparación_precios[[#This Row],[PROVEEDOR 1]:[PROVEEDOR 6]])</f>
        <v>0</v>
      </c>
    </row>
    <row r="25" spans="2:12" s="2" customFormat="1" ht="19.5" thickBot="1" x14ac:dyDescent="0.35">
      <c r="B25" s="32" t="s">
        <v>15</v>
      </c>
      <c r="C25" s="32"/>
      <c r="D25" s="33">
        <f>ROUND(SUMPRODUCT(Comparación_precios[[CANTIDAD]:[CANTIDAD]],Comparación_precios[PROVEEDOR 1]),2)</f>
        <v>17147446.199999999</v>
      </c>
      <c r="E25" s="33">
        <f>ROUND(SUMPRODUCT(Comparación_precios[[CANTIDAD]:[CANTIDAD]],Comparación_precios[PROVEEDOR 2]),2)</f>
        <v>12364484.76</v>
      </c>
      <c r="F25" s="33">
        <f>ROUND(SUMPRODUCT(Comparación_precios[[CANTIDAD]:[CANTIDAD]],Comparación_precios[PROVEEDOR 3]),2)</f>
        <v>65098644</v>
      </c>
      <c r="G25" s="33">
        <f>ROUND(SUMPRODUCT(Comparación_precios[[CANTIDAD]:[CANTIDAD]],Comparación_precios[PROVEEDOR 4]),2)</f>
        <v>0</v>
      </c>
      <c r="H25" s="33">
        <f>ROUND(SUMPRODUCT(Comparación_precios[[CANTIDAD]:[CANTIDAD]],Comparación_precios[PROVEEDOR 5]),2)</f>
        <v>0</v>
      </c>
      <c r="I25" s="33">
        <f>ROUND(SUMPRODUCT(Comparación_precios[[CANTIDAD]:[CANTIDAD]],Comparación_precios[PROVEEDOR 6]),2)</f>
        <v>0</v>
      </c>
      <c r="J25" s="34"/>
      <c r="K25" s="34"/>
      <c r="L25" s="35"/>
    </row>
    <row r="26" spans="2:12" s="2" customFormat="1" x14ac:dyDescent="0.2">
      <c r="B26" s="1"/>
      <c r="C26" s="1"/>
      <c r="D26" s="1"/>
      <c r="E26" s="1"/>
      <c r="F26" s="1"/>
      <c r="G26" s="1"/>
      <c r="H26" s="1"/>
      <c r="I26" s="1"/>
      <c r="J26" s="1"/>
      <c r="K26" s="3"/>
      <c r="L26" s="3"/>
    </row>
    <row r="27" spans="2:12" s="2" customFormat="1" ht="13.5" thickBot="1" x14ac:dyDescent="0.25"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</row>
    <row r="28" spans="2:12" s="2" customFormat="1" ht="48.6" customHeight="1" x14ac:dyDescent="0.2">
      <c r="B28" s="67" t="s">
        <v>16</v>
      </c>
      <c r="C28" s="68"/>
      <c r="D28" s="21"/>
      <c r="E28" s="21"/>
      <c r="F28" s="21"/>
      <c r="G28" s="21"/>
      <c r="H28" s="21"/>
    </row>
    <row r="29" spans="2:12" s="2" customFormat="1" ht="33.6" customHeight="1" x14ac:dyDescent="0.2">
      <c r="B29" s="65" t="s">
        <v>17</v>
      </c>
      <c r="C29" s="66"/>
      <c r="D29" s="46" t="s">
        <v>18</v>
      </c>
      <c r="E29" s="15" t="s">
        <v>19</v>
      </c>
      <c r="F29" s="15" t="s">
        <v>20</v>
      </c>
      <c r="G29" s="15"/>
      <c r="H29" s="15"/>
      <c r="I29" s="15"/>
    </row>
    <row r="30" spans="2:12" s="2" customFormat="1" ht="25.9" customHeight="1" x14ac:dyDescent="0.2">
      <c r="B30" s="65" t="s">
        <v>21</v>
      </c>
      <c r="C30" s="66"/>
      <c r="D30" s="47">
        <v>0</v>
      </c>
      <c r="E30" s="22">
        <v>0</v>
      </c>
      <c r="F30" s="22">
        <v>0</v>
      </c>
      <c r="G30" s="15"/>
      <c r="H30" s="22"/>
      <c r="I30" s="22"/>
    </row>
    <row r="31" spans="2:12" s="2" customFormat="1" ht="18" customHeight="1" x14ac:dyDescent="0.2">
      <c r="B31" s="65" t="s">
        <v>22</v>
      </c>
      <c r="C31" s="66"/>
      <c r="D31" s="48"/>
      <c r="E31" s="23"/>
      <c r="F31" s="23"/>
      <c r="G31" s="23"/>
      <c r="H31" s="23"/>
      <c r="I31" s="23"/>
    </row>
    <row r="32" spans="2:12" s="2" customFormat="1" ht="18.75" x14ac:dyDescent="0.2">
      <c r="B32" s="65"/>
      <c r="C32" s="66"/>
      <c r="D32" s="49"/>
      <c r="E32" s="24"/>
      <c r="F32" s="24"/>
      <c r="G32" s="24"/>
      <c r="H32" s="24"/>
      <c r="I32" s="24"/>
    </row>
    <row r="33" spans="2:12" s="2" customFormat="1" ht="18.75" x14ac:dyDescent="0.2">
      <c r="B33" s="65"/>
      <c r="C33" s="66"/>
      <c r="D33" s="50"/>
      <c r="E33" s="25"/>
      <c r="F33" s="25"/>
      <c r="G33" s="25"/>
      <c r="H33" s="25"/>
      <c r="I33" s="25"/>
    </row>
    <row r="34" spans="2:12" ht="18.75" x14ac:dyDescent="0.2">
      <c r="B34" s="65"/>
      <c r="C34" s="66"/>
      <c r="D34" s="51"/>
      <c r="E34" s="26"/>
      <c r="F34" s="26"/>
      <c r="G34" s="26"/>
      <c r="H34" s="26"/>
      <c r="I34" s="26"/>
      <c r="J34" s="2"/>
      <c r="K34" s="1"/>
      <c r="L34" s="1"/>
    </row>
    <row r="35" spans="2:12" x14ac:dyDescent="0.2">
      <c r="J35" s="3"/>
      <c r="K35" s="1"/>
      <c r="L35" s="1"/>
    </row>
    <row r="36" spans="2:12" x14ac:dyDescent="0.2">
      <c r="J36" s="3"/>
      <c r="K36" s="1"/>
      <c r="L36" s="1"/>
    </row>
    <row r="37" spans="2:12" ht="18.75" x14ac:dyDescent="0.2">
      <c r="D37" s="36"/>
      <c r="E37" s="36"/>
      <c r="F37" s="37"/>
      <c r="G37" s="38"/>
      <c r="H37" s="39"/>
      <c r="I37" s="36"/>
      <c r="J37" s="3"/>
      <c r="K37" s="1"/>
      <c r="L37" s="1"/>
    </row>
    <row r="38" spans="2:12" ht="18.75" x14ac:dyDescent="0.2">
      <c r="D38" s="36"/>
      <c r="E38" s="36"/>
      <c r="F38" s="37"/>
      <c r="G38" s="40"/>
      <c r="H38" s="39"/>
      <c r="I38" s="36"/>
    </row>
    <row r="39" spans="2:12" ht="18.75" x14ac:dyDescent="0.2">
      <c r="D39" s="36"/>
      <c r="E39" s="36"/>
      <c r="F39" s="37"/>
      <c r="G39" s="40"/>
      <c r="H39" s="39"/>
      <c r="I39" s="36"/>
    </row>
    <row r="40" spans="2:12" ht="18.75" x14ac:dyDescent="0.2">
      <c r="D40" s="36"/>
      <c r="E40" s="36"/>
      <c r="F40" s="37"/>
      <c r="G40" s="40"/>
      <c r="H40" s="39"/>
      <c r="I40" s="36"/>
    </row>
    <row r="41" spans="2:12" ht="18.75" x14ac:dyDescent="0.2">
      <c r="D41" s="36"/>
      <c r="E41" s="36"/>
      <c r="F41" s="37"/>
      <c r="G41" s="40"/>
      <c r="H41" s="39"/>
      <c r="I41" s="36"/>
    </row>
    <row r="42" spans="2:12" ht="18.75" x14ac:dyDescent="0.2">
      <c r="D42" s="36"/>
      <c r="E42" s="36"/>
      <c r="F42" s="37"/>
      <c r="G42" s="40"/>
      <c r="H42" s="39"/>
      <c r="I42" s="36"/>
    </row>
  </sheetData>
  <mergeCells count="5">
    <mergeCell ref="J7:L7"/>
    <mergeCell ref="B29:C29"/>
    <mergeCell ref="B30:C30"/>
    <mergeCell ref="B31:C34"/>
    <mergeCell ref="B28:C28"/>
  </mergeCells>
  <phoneticPr fontId="13" type="noConversion"/>
  <conditionalFormatting sqref="B8:C8">
    <cfRule type="expression" dxfId="26" priority="1">
      <formula>AND(B$25=MIN($D$25:$I$25),B$25&lt;&gt;0)</formula>
    </cfRule>
  </conditionalFormatting>
  <conditionalFormatting sqref="D8:I8 D25:I25">
    <cfRule type="expression" dxfId="25" priority="42">
      <formula>AND(D$25=MIN($D$25:$I$25),D$25&lt;&gt;0)</formula>
    </cfRule>
  </conditionalFormatting>
  <conditionalFormatting sqref="D9:I24">
    <cfRule type="expression" dxfId="24" priority="46">
      <formula>AND(D$25=MIN($D$25:$I$25),D$25&lt;&gt;0)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91C-DC24-4F0C-8EFF-F85828153E6C}">
  <dimension ref="B1:N42"/>
  <sheetViews>
    <sheetView showGridLines="0" topLeftCell="B6" zoomScale="90" zoomScaleNormal="90" workbookViewId="0">
      <selection activeCell="B19" sqref="B19"/>
    </sheetView>
  </sheetViews>
  <sheetFormatPr baseColWidth="10" defaultColWidth="9.33203125" defaultRowHeight="12.75" x14ac:dyDescent="0.2"/>
  <cols>
    <col min="1" max="1" width="4" style="1" customWidth="1"/>
    <col min="2" max="2" width="110.83203125" style="1" bestFit="1" customWidth="1"/>
    <col min="3" max="3" width="15.6640625" style="1" bestFit="1" customWidth="1"/>
    <col min="4" max="5" width="23.5" style="1" bestFit="1" customWidth="1"/>
    <col min="6" max="6" width="21.83203125" style="1" bestFit="1" customWidth="1"/>
    <col min="7" max="8" width="22.33203125" style="1" bestFit="1" customWidth="1"/>
    <col min="9" max="9" width="22.33203125" style="1" customWidth="1"/>
    <col min="10" max="10" width="27.33203125" style="1" customWidth="1"/>
    <col min="11" max="11" width="23.5" style="3" customWidth="1"/>
    <col min="12" max="12" width="24.83203125" style="3" customWidth="1"/>
    <col min="13" max="13" width="20.5" style="1" customWidth="1"/>
    <col min="14" max="14" width="20.6640625" style="1" customWidth="1"/>
    <col min="15" max="16384" width="9.33203125" style="1"/>
  </cols>
  <sheetData>
    <row r="1" spans="2:14" ht="15" customHeight="1" x14ac:dyDescent="0.2"/>
    <row r="2" spans="2:14" customFormat="1" ht="54.95" customHeight="1" x14ac:dyDescent="0.2">
      <c r="B2" s="5"/>
      <c r="C2" s="5"/>
      <c r="D2" s="5"/>
      <c r="E2" s="5"/>
      <c r="F2" s="5"/>
      <c r="G2" s="5"/>
      <c r="H2" s="5"/>
      <c r="I2" s="30"/>
      <c r="J2" s="30"/>
      <c r="K2" s="30"/>
      <c r="L2" s="30"/>
    </row>
    <row r="3" spans="2:14" ht="15" customHeight="1" x14ac:dyDescent="0.2"/>
    <row r="4" spans="2:14" ht="15" customHeight="1" x14ac:dyDescent="0.2"/>
    <row r="5" spans="2:14" ht="28.5" x14ac:dyDescent="0.2">
      <c r="B5" s="16" t="s">
        <v>1</v>
      </c>
      <c r="C5" s="16"/>
    </row>
    <row r="6" spans="2:14" ht="29.25" thickBot="1" x14ac:dyDescent="0.25">
      <c r="B6" s="17" t="s">
        <v>2</v>
      </c>
      <c r="C6" s="17"/>
      <c r="D6" s="16"/>
      <c r="E6" s="16"/>
      <c r="F6" s="16"/>
      <c r="G6" s="16"/>
      <c r="H6" s="16"/>
      <c r="I6" s="16"/>
      <c r="J6" s="4"/>
      <c r="K6" s="4"/>
      <c r="L6" s="4"/>
      <c r="M6" s="4"/>
      <c r="N6" s="4"/>
    </row>
    <row r="7" spans="2:14" ht="24.75" customHeight="1" thickBot="1" x14ac:dyDescent="0.25">
      <c r="J7" s="62" t="s">
        <v>3</v>
      </c>
      <c r="K7" s="63"/>
      <c r="L7" s="64"/>
    </row>
    <row r="8" spans="2:14" s="6" customFormat="1" ht="46.5" customHeight="1" thickBot="1" x14ac:dyDescent="0.3">
      <c r="B8" s="31" t="s">
        <v>4</v>
      </c>
      <c r="C8" s="31" t="s">
        <v>5</v>
      </c>
      <c r="D8" s="31" t="s">
        <v>6</v>
      </c>
      <c r="E8" s="31" t="s">
        <v>7</v>
      </c>
      <c r="F8" s="31" t="s">
        <v>8</v>
      </c>
      <c r="G8" s="31" t="s">
        <v>9</v>
      </c>
      <c r="H8" s="31" t="s">
        <v>10</v>
      </c>
      <c r="I8" s="31" t="s">
        <v>11</v>
      </c>
      <c r="J8" s="11" t="s">
        <v>12</v>
      </c>
      <c r="K8" s="10" t="s">
        <v>13</v>
      </c>
      <c r="L8" s="12" t="s">
        <v>14</v>
      </c>
    </row>
    <row r="9" spans="2:14" s="7" customFormat="1" ht="19.5" thickBot="1" x14ac:dyDescent="0.35">
      <c r="B9" s="56" t="str">
        <f>+'[1]SERVER Admin'!$D$8</f>
        <v>Servidor Dell Power Edge T40 Intel Xeon</v>
      </c>
      <c r="C9" s="57">
        <v>1</v>
      </c>
      <c r="D9" s="9">
        <f>+'[1]SERVER Admin'!$H$8</f>
        <v>7565800</v>
      </c>
      <c r="E9" s="9">
        <f>+'[1]SERVER Admin'!$H$9</f>
        <v>5799000</v>
      </c>
      <c r="F9" s="9">
        <f>+'[1]SERVER Admin'!$H$10</f>
        <v>4900000</v>
      </c>
      <c r="G9" s="9"/>
      <c r="H9" s="9"/>
      <c r="I9" s="9"/>
      <c r="J9" s="13">
        <f>MIN(Comparación_precios2[[#This Row],[PROVEEDOR 1]:[PROVEEDOR 6]])</f>
        <v>4900000</v>
      </c>
      <c r="K9" s="8">
        <f>IFERROR(AVERAGE(Comparación_precios2[[#This Row],[PROVEEDOR 1]:[PROVEEDOR 6]]),0)</f>
        <v>6088266.666666667</v>
      </c>
      <c r="L9" s="14">
        <f>MAX(Comparación_precios2[[#This Row],[PROVEEDOR 1]:[PROVEEDOR 6]])</f>
        <v>7565800</v>
      </c>
    </row>
    <row r="10" spans="2:14" s="7" customFormat="1" ht="19.5" thickBot="1" x14ac:dyDescent="0.35">
      <c r="B10" s="56" t="str">
        <f>+'[1]Monitor admin'!$D$10</f>
        <v xml:space="preserve">Monitor Ultrawide Lg 34 Ips Hrd10 Freesync 75Hz 34Wp500 B </v>
      </c>
      <c r="C10" s="57">
        <v>1</v>
      </c>
      <c r="D10" s="9">
        <f>+'[1]Monitor admin'!$G$8</f>
        <v>799900</v>
      </c>
      <c r="E10" s="9">
        <f>+'[1]Monitor admin'!$G$9</f>
        <v>1379900</v>
      </c>
      <c r="F10" s="9">
        <f>+'[1]Monitor admin'!$H$10</f>
        <v>1049100</v>
      </c>
      <c r="G10" s="9"/>
      <c r="H10" s="9"/>
      <c r="I10" s="9"/>
      <c r="J10" s="13">
        <f>MIN(Comparación_precios2[[#This Row],[PROVEEDOR 1]:[PROVEEDOR 6]])</f>
        <v>799900</v>
      </c>
      <c r="K10" s="8">
        <f>IFERROR(AVERAGE(Comparación_precios2[[#This Row],[PROVEEDOR 1]:[PROVEEDOR 6]]),0)</f>
        <v>1076300</v>
      </c>
      <c r="L10" s="14">
        <f>MAX(Comparación_precios2[[#This Row],[PROVEEDOR 1]:[PROVEEDOR 6]])</f>
        <v>1379900</v>
      </c>
    </row>
    <row r="11" spans="2:14" s="7" customFormat="1" ht="19.5" thickBot="1" x14ac:dyDescent="0.35">
      <c r="B11" s="56" t="str">
        <f>+'[1]Teclado admin'!$D$8</f>
        <v>Ducky One 2 Rgb Tkl Pudding Edition</v>
      </c>
      <c r="C11" s="57">
        <v>1</v>
      </c>
      <c r="D11" s="9">
        <f>+'[1]Teclado admin'!$H$8</f>
        <v>851000</v>
      </c>
      <c r="E11" s="58">
        <f>+'[1]Teclado admin'!$H$9</f>
        <v>658398</v>
      </c>
      <c r="F11" s="9">
        <f>+'[1]Teclado admin'!$H$10</f>
        <v>215974</v>
      </c>
      <c r="G11" s="9"/>
      <c r="H11" s="9"/>
      <c r="I11" s="9"/>
      <c r="J11" s="13">
        <f>MIN(Comparación_precios2[[#This Row],[PROVEEDOR 1]:[PROVEEDOR 6]])</f>
        <v>215974</v>
      </c>
      <c r="K11" s="8">
        <f>IFERROR(AVERAGE(Comparación_precios2[[#This Row],[PROVEEDOR 1]:[PROVEEDOR 6]]),0)</f>
        <v>575124</v>
      </c>
      <c r="L11" s="14">
        <f>MAX(Comparación_precios2[[#This Row],[PROVEEDOR 1]:[PROVEEDOR 6]])</f>
        <v>851000</v>
      </c>
    </row>
    <row r="12" spans="2:14" s="7" customFormat="1" ht="19.5" thickBot="1" x14ac:dyDescent="0.35">
      <c r="B12" s="56" t="str">
        <f>+'[1]SOFTWARE NECESARIO(office2021)'!$D$8</f>
        <v>Office 2021</v>
      </c>
      <c r="C12" s="57">
        <v>1</v>
      </c>
      <c r="D12" s="9">
        <f>+'[1]SOFTWARE NECESARIO(office2021)'!$G$8</f>
        <v>66000</v>
      </c>
      <c r="E12" s="9">
        <f>+'[1]SOFTWARE NECESARIO(office2021)'!$H$9</f>
        <v>99960</v>
      </c>
      <c r="F12" s="9">
        <f>+'[1]SOFTWARE NECESARIO(office2021)'!$G$10</f>
        <v>119800</v>
      </c>
      <c r="G12" s="9"/>
      <c r="H12" s="9"/>
      <c r="I12" s="9"/>
      <c r="J12" s="13">
        <f>MIN(Comparación_precios2[[#This Row],[PROVEEDOR 1]:[PROVEEDOR 6]])</f>
        <v>66000</v>
      </c>
      <c r="K12" s="8">
        <f>IFERROR(AVERAGE(Comparación_precios2[[#This Row],[PROVEEDOR 1]:[PROVEEDOR 6]]),0)</f>
        <v>95253.333333333328</v>
      </c>
      <c r="L12" s="14">
        <f>MAX(Comparación_precios2[[#This Row],[PROVEEDOR 1]:[PROVEEDOR 6]])</f>
        <v>119800</v>
      </c>
    </row>
    <row r="13" spans="2:14" s="7" customFormat="1" ht="19.5" thickBot="1" x14ac:dyDescent="0.35">
      <c r="B13" s="56" t="str">
        <f>+'[1]SOFTWARE NECESARIO(windows)'!$D$8</f>
        <v>Windows 10 Professional</v>
      </c>
      <c r="C13" s="57">
        <v>1</v>
      </c>
      <c r="D13" s="9">
        <f>+'[1]SOFTWARE NECESARIO(windows)'!$G$8</f>
        <v>44900</v>
      </c>
      <c r="E13" s="9">
        <f>+'[1]SOFTWARE NECESARIO(windows)'!$G$9</f>
        <v>22500</v>
      </c>
      <c r="F13" s="9">
        <f>+'[1]SOFTWARE NECESARIO(windows)'!$G$10</f>
        <v>43000</v>
      </c>
      <c r="G13" s="9"/>
      <c r="H13" s="9"/>
      <c r="I13" s="9"/>
      <c r="J13" s="13">
        <f>MIN(Comparación_precios2[[#This Row],[PROVEEDOR 1]:[PROVEEDOR 6]])</f>
        <v>22500</v>
      </c>
      <c r="K13" s="8">
        <f>IFERROR(AVERAGE(Comparación_precios2[[#This Row],[PROVEEDOR 1]:[PROVEEDOR 6]]),0)</f>
        <v>36800</v>
      </c>
      <c r="L13" s="14">
        <f>MAX(Comparación_precios2[[#This Row],[PROVEEDOR 1]:[PROVEEDOR 6]])</f>
        <v>44900</v>
      </c>
    </row>
    <row r="14" spans="2:14" s="7" customFormat="1" ht="19.5" thickBot="1" x14ac:dyDescent="0.35">
      <c r="B14" s="56" t="s">
        <v>23</v>
      </c>
      <c r="C14" s="57">
        <v>1</v>
      </c>
      <c r="D14" s="9">
        <f>+'[1]SOFTWARE NECESARIO(Antivirus)'!$G$8</f>
        <v>128000</v>
      </c>
      <c r="E14" s="9">
        <f>+'[1]SOFTWARE NECESARIO(Antivirus)'!$G$9</f>
        <v>179950</v>
      </c>
      <c r="F14" s="9">
        <f>+'[1]SOFTWARE NECESARIO(Antivirus)'!$H$10</f>
        <v>135816.06</v>
      </c>
      <c r="G14" s="9"/>
      <c r="H14" s="9"/>
      <c r="I14" s="9"/>
      <c r="J14" s="27">
        <f>MIN(Comparación_precios2[[#This Row],[PROVEEDOR 1]:[PROVEEDOR 6]])</f>
        <v>128000</v>
      </c>
      <c r="K14" s="28">
        <f>IFERROR(AVERAGE(Comparación_precios2[[#This Row],[PROVEEDOR 1]:[PROVEEDOR 6]]),0)</f>
        <v>147922.01999999999</v>
      </c>
      <c r="L14" s="29">
        <f>MAX(Comparación_precios2[[#This Row],[PROVEEDOR 1]:[PROVEEDOR 6]])</f>
        <v>179950</v>
      </c>
    </row>
    <row r="15" spans="2:14" s="2" customFormat="1" ht="19.5" thickBot="1" x14ac:dyDescent="0.35">
      <c r="B15" s="59" t="str">
        <f>+[1]HOSTING!$D$8</f>
        <v>Hosting anual</v>
      </c>
      <c r="C15" s="57">
        <v>1</v>
      </c>
      <c r="D15" s="9">
        <f>+[1]HOSTING!$G$8</f>
        <v>302013</v>
      </c>
      <c r="E15" s="44">
        <f>+[1]HOSTING!$G$9</f>
        <v>699900</v>
      </c>
      <c r="F15" s="44">
        <f>+[1]HOSTING!$G$10</f>
        <v>682800</v>
      </c>
      <c r="G15" s="44"/>
      <c r="H15" s="44"/>
      <c r="I15" s="44"/>
      <c r="J15" s="27">
        <f>MIN(Comparación_precios2[[#This Row],[PROVEEDOR 1]:[PROVEEDOR 6]])</f>
        <v>302013</v>
      </c>
      <c r="K15" s="8">
        <f>IFERROR(AVERAGE(Comparación_precios2[[#This Row],[PROVEEDOR 1]:[PROVEEDOR 6]]),0)</f>
        <v>561571</v>
      </c>
      <c r="L15" s="14">
        <f>MAX(Comparación_precios2[[#This Row],[PROVEEDOR 1]:[PROVEEDOR 6]])</f>
        <v>699900</v>
      </c>
    </row>
    <row r="16" spans="2:14" s="2" customFormat="1" ht="19.5" thickBot="1" x14ac:dyDescent="0.35">
      <c r="B16" s="59" t="s">
        <v>24</v>
      </c>
      <c r="C16" s="57">
        <v>1</v>
      </c>
      <c r="D16" s="9">
        <f>+[1]DOMINIO!$H$8</f>
        <v>17000</v>
      </c>
      <c r="E16" s="44">
        <f>+[1]DOMINIO!$H$9</f>
        <v>331500</v>
      </c>
      <c r="F16" s="44">
        <f>+[1]DOMINIO!$H$10</f>
        <v>277729</v>
      </c>
      <c r="G16" s="44"/>
      <c r="H16" s="44"/>
      <c r="I16" s="44"/>
      <c r="J16" s="27">
        <f>MIN(Comparación_precios2[[#This Row],[PROVEEDOR 1]:[PROVEEDOR 6]])</f>
        <v>17000</v>
      </c>
      <c r="K16" s="8">
        <f>IFERROR(AVERAGE(Comparación_precios2[[#This Row],[PROVEEDOR 1]:[PROVEEDOR 6]]),0)</f>
        <v>208743</v>
      </c>
      <c r="L16" s="14">
        <f>MAX(Comparación_precios2[[#This Row],[PROVEEDOR 1]:[PROVEEDOR 6]])</f>
        <v>331500</v>
      </c>
    </row>
    <row r="17" spans="2:12" s="2" customFormat="1" ht="19.5" thickBot="1" x14ac:dyDescent="0.35">
      <c r="B17" s="59" t="str">
        <f>+'[1]Mouse admin'!$D$8</f>
        <v>Wireless Logitech Mx Master 3s</v>
      </c>
      <c r="C17" s="57">
        <v>1</v>
      </c>
      <c r="D17" s="9">
        <f>+'[1]Mouse admin'!$G$8</f>
        <v>579900</v>
      </c>
      <c r="E17" s="44">
        <f>+'[1]Mouse admin'!$G$9</f>
        <v>699900</v>
      </c>
      <c r="F17" s="44">
        <f>+'[1]Mouse admin'!$H$10</f>
        <v>334230</v>
      </c>
      <c r="G17" s="44"/>
      <c r="H17" s="44"/>
      <c r="I17" s="44"/>
      <c r="J17" s="27">
        <f>MIN(Comparación_precios2[[#This Row],[PROVEEDOR 1]:[PROVEEDOR 6]])</f>
        <v>334230</v>
      </c>
      <c r="K17" s="28">
        <f>IFERROR(AVERAGE(Comparación_precios2[[#This Row],[PROVEEDOR 1]:[PROVEEDOR 6]]),0)</f>
        <v>538010</v>
      </c>
      <c r="L17" s="29">
        <f>MAX(Comparación_precios2[[#This Row],[PROVEEDOR 1]:[PROVEEDOR 6]])</f>
        <v>699900</v>
      </c>
    </row>
    <row r="18" spans="2:12" s="2" customFormat="1" ht="19.5" thickBot="1" x14ac:dyDescent="0.35">
      <c r="B18" s="60" t="str">
        <f>+'[1]Gestor de BD'!$D$8</f>
        <v>Licencia de bases de datos dedicada</v>
      </c>
      <c r="C18" s="57">
        <v>1</v>
      </c>
      <c r="D18" s="9">
        <f>+'[1]Gestor de BD'!$H$8</f>
        <v>222870</v>
      </c>
      <c r="E18" s="43">
        <f>+'[1]Gestor de BD'!$H$9</f>
        <v>3866990</v>
      </c>
      <c r="F18" s="43" t="str">
        <f>+'[1]Gestor de BD'!$H$10</f>
        <v>$46,398</v>
      </c>
      <c r="G18" s="43"/>
      <c r="H18" s="41"/>
      <c r="I18" s="55"/>
      <c r="J18" s="27">
        <f>MIN(Comparación_precios2[[#This Row],[PROVEEDOR 1]:[PROVEEDOR 6]])</f>
        <v>222870</v>
      </c>
      <c r="K18" s="8">
        <f>IFERROR(AVERAGE(Comparación_precios2[[#This Row],[PROVEEDOR 1]:[PROVEEDOR 6]]),0)</f>
        <v>2044930</v>
      </c>
      <c r="L18" s="14">
        <f>MAX(Comparación_precios2[[#This Row],[PROVEEDOR 1]:[PROVEEDOR 6]])</f>
        <v>3866990</v>
      </c>
    </row>
    <row r="19" spans="2:12" s="2" customFormat="1" ht="19.5" thickBot="1" x14ac:dyDescent="0.35">
      <c r="B19" s="56" t="str">
        <f>+'[1]SOFTWARE (VSCode)'!$D$10</f>
        <v xml:space="preserve">Licencia visual studio </v>
      </c>
      <c r="C19" s="57"/>
      <c r="D19" s="9"/>
      <c r="E19" s="43"/>
      <c r="F19" s="43"/>
      <c r="G19" s="43"/>
      <c r="H19" s="41"/>
      <c r="I19" s="55"/>
      <c r="J19" s="27">
        <f>MIN(Comparación_precios2[[#This Row],[PROVEEDOR 1]:[PROVEEDOR 6]])</f>
        <v>0</v>
      </c>
      <c r="K19" s="8">
        <f>IFERROR(AVERAGE(Comparación_precios2[[#This Row],[PROVEEDOR 1]:[PROVEEDOR 6]]),0)</f>
        <v>0</v>
      </c>
      <c r="L19" s="14">
        <f>MAX(Comparación_precios2[[#This Row],[PROVEEDOR 1]:[PROVEEDOR 6]])</f>
        <v>0</v>
      </c>
    </row>
    <row r="20" spans="2:12" s="2" customFormat="1" ht="19.5" thickBot="1" x14ac:dyDescent="0.35">
      <c r="B20" s="41"/>
      <c r="C20" s="42"/>
      <c r="D20" s="9"/>
      <c r="E20" s="43"/>
      <c r="F20" s="43"/>
      <c r="G20" s="43"/>
      <c r="H20" s="41"/>
      <c r="I20" s="55"/>
      <c r="J20" s="27">
        <f>MIN(Comparación_precios2[[#This Row],[PROVEEDOR 1]:[PROVEEDOR 6]])</f>
        <v>0</v>
      </c>
      <c r="K20" s="8">
        <f>IFERROR(AVERAGE(Comparación_precios2[[#This Row],[PROVEEDOR 1]:[PROVEEDOR 6]]),0)</f>
        <v>0</v>
      </c>
      <c r="L20" s="14">
        <f>MAX(Comparación_precios2[[#This Row],[PROVEEDOR 1]:[PROVEEDOR 6]])</f>
        <v>0</v>
      </c>
    </row>
    <row r="21" spans="2:12" s="2" customFormat="1" ht="19.5" thickBot="1" x14ac:dyDescent="0.35">
      <c r="B21" s="41"/>
      <c r="C21" s="42"/>
      <c r="D21" s="9"/>
      <c r="E21" s="43"/>
      <c r="F21" s="43"/>
      <c r="G21" s="43"/>
      <c r="H21" s="41"/>
      <c r="I21" s="55"/>
      <c r="J21" s="27">
        <f>MIN(Comparación_precios2[[#This Row],[PROVEEDOR 1]:[PROVEEDOR 6]])</f>
        <v>0</v>
      </c>
      <c r="K21" s="8">
        <f>IFERROR(AVERAGE(Comparación_precios2[[#This Row],[PROVEEDOR 1]:[PROVEEDOR 6]]),0)</f>
        <v>0</v>
      </c>
      <c r="L21" s="14">
        <f>MAX(Comparación_precios2[[#This Row],[PROVEEDOR 1]:[PROVEEDOR 6]])</f>
        <v>0</v>
      </c>
    </row>
    <row r="22" spans="2:12" s="2" customFormat="1" ht="19.5" thickBot="1" x14ac:dyDescent="0.35">
      <c r="B22" s="41"/>
      <c r="C22" s="42"/>
      <c r="D22" s="9"/>
      <c r="E22" s="43"/>
      <c r="F22" s="43"/>
      <c r="G22" s="43"/>
      <c r="H22" s="41"/>
      <c r="I22" s="55"/>
      <c r="J22" s="27">
        <f>MIN(Comparación_precios2[[#This Row],[PROVEEDOR 1]:[PROVEEDOR 6]])</f>
        <v>0</v>
      </c>
      <c r="K22" s="8">
        <f>IFERROR(AVERAGE(Comparación_precios2[[#This Row],[PROVEEDOR 1]:[PROVEEDOR 6]]),0)</f>
        <v>0</v>
      </c>
      <c r="L22" s="14">
        <f>MAX(Comparación_precios2[[#This Row],[PROVEEDOR 1]:[PROVEEDOR 6]])</f>
        <v>0</v>
      </c>
    </row>
    <row r="23" spans="2:12" s="2" customFormat="1" ht="19.5" thickBot="1" x14ac:dyDescent="0.35">
      <c r="B23" s="41"/>
      <c r="C23" s="42"/>
      <c r="D23" s="9"/>
      <c r="E23" s="43"/>
      <c r="F23" s="43"/>
      <c r="G23" s="43"/>
      <c r="H23" s="41"/>
      <c r="I23" s="55"/>
      <c r="J23" s="27">
        <f>MIN(Comparación_precios2[[#This Row],[PROVEEDOR 1]:[PROVEEDOR 6]])</f>
        <v>0</v>
      </c>
      <c r="K23" s="8">
        <f>IFERROR(AVERAGE(Comparación_precios2[[#This Row],[PROVEEDOR 1]:[PROVEEDOR 6]]),0)</f>
        <v>0</v>
      </c>
      <c r="L23" s="14">
        <f>MAX(Comparación_precios2[[#This Row],[PROVEEDOR 1]:[PROVEEDOR 6]])</f>
        <v>0</v>
      </c>
    </row>
    <row r="24" spans="2:12" s="2" customFormat="1" ht="19.5" thickBot="1" x14ac:dyDescent="0.35">
      <c r="B24" s="41"/>
      <c r="C24" s="42"/>
      <c r="D24" s="9"/>
      <c r="E24" s="43"/>
      <c r="F24" s="43"/>
      <c r="G24" s="43"/>
      <c r="H24" s="41"/>
      <c r="I24" s="55"/>
      <c r="J24" s="27">
        <f>MIN(Comparación_precios2[[#This Row],[PROVEEDOR 1]:[PROVEEDOR 6]])</f>
        <v>0</v>
      </c>
      <c r="K24" s="8">
        <f>IFERROR(AVERAGE(Comparación_precios2[[#This Row],[PROVEEDOR 1]:[PROVEEDOR 6]]),0)</f>
        <v>0</v>
      </c>
      <c r="L24" s="14">
        <f>MAX(Comparación_precios2[[#This Row],[PROVEEDOR 1]:[PROVEEDOR 6]])</f>
        <v>0</v>
      </c>
    </row>
    <row r="25" spans="2:12" s="2" customFormat="1" ht="19.5" thickBot="1" x14ac:dyDescent="0.35">
      <c r="B25" s="32" t="s">
        <v>15</v>
      </c>
      <c r="C25" s="32"/>
      <c r="D25" s="33">
        <f>ROUND(SUMPRODUCT(Comparación_precios2[[CANTIDAD]:[CANTIDAD]],Comparación_precios2[PROVEEDOR 1]),2)</f>
        <v>10577383</v>
      </c>
      <c r="E25" s="33">
        <f>ROUND(SUMPRODUCT(Comparación_precios2[[CANTIDAD]:[CANTIDAD]],Comparación_precios2[PROVEEDOR 2]),2)</f>
        <v>13737998</v>
      </c>
      <c r="F25" s="33">
        <f>ROUND(SUMPRODUCT(Comparación_precios2[[CANTIDAD]:[CANTIDAD]],Comparación_precios2[PROVEEDOR 3]),2)</f>
        <v>7758449.0599999996</v>
      </c>
      <c r="G25" s="33">
        <f>ROUND(SUMPRODUCT(Comparación_precios2[[CANTIDAD]:[CANTIDAD]],Comparación_precios2[PROVEEDOR 4]),2)</f>
        <v>0</v>
      </c>
      <c r="H25" s="33">
        <f>ROUND(SUMPRODUCT(Comparación_precios2[[CANTIDAD]:[CANTIDAD]],Comparación_precios2[PROVEEDOR 5]),2)</f>
        <v>0</v>
      </c>
      <c r="I25" s="33">
        <f>ROUND(SUMPRODUCT(Comparación_precios2[[CANTIDAD]:[CANTIDAD]],Comparación_precios2[PROVEEDOR 6]),2)</f>
        <v>0</v>
      </c>
      <c r="J25" s="34"/>
      <c r="K25" s="34"/>
      <c r="L25" s="35"/>
    </row>
    <row r="26" spans="2:12" s="2" customFormat="1" x14ac:dyDescent="0.2">
      <c r="B26" s="1"/>
      <c r="C26" s="1"/>
      <c r="D26" s="1"/>
      <c r="E26" s="1"/>
      <c r="F26" s="1"/>
      <c r="G26" s="1"/>
      <c r="H26" s="1"/>
      <c r="I26" s="1"/>
      <c r="J26" s="1"/>
      <c r="K26" s="3"/>
      <c r="L26" s="3"/>
    </row>
    <row r="27" spans="2:12" s="2" customFormat="1" ht="13.5" thickBot="1" x14ac:dyDescent="0.25"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</row>
    <row r="28" spans="2:12" s="2" customFormat="1" ht="48.6" customHeight="1" x14ac:dyDescent="0.2">
      <c r="B28" s="67" t="s">
        <v>16</v>
      </c>
      <c r="C28" s="68"/>
      <c r="D28" s="21"/>
      <c r="E28" s="21"/>
      <c r="F28" s="21"/>
      <c r="G28" s="21"/>
      <c r="H28" s="21"/>
    </row>
    <row r="29" spans="2:12" s="2" customFormat="1" ht="33.6" customHeight="1" x14ac:dyDescent="0.2">
      <c r="B29" s="65" t="s">
        <v>17</v>
      </c>
      <c r="C29" s="66"/>
      <c r="D29" s="61" t="s">
        <v>25</v>
      </c>
      <c r="E29" s="15" t="s">
        <v>26</v>
      </c>
      <c r="F29" s="46" t="s">
        <v>18</v>
      </c>
      <c r="G29" s="15"/>
      <c r="H29" s="15"/>
      <c r="I29" s="15"/>
    </row>
    <row r="30" spans="2:12" s="2" customFormat="1" ht="25.9" customHeight="1" x14ac:dyDescent="0.2">
      <c r="B30" s="65" t="s">
        <v>21</v>
      </c>
      <c r="C30" s="66"/>
      <c r="D30" s="47">
        <v>0</v>
      </c>
      <c r="E30" s="22">
        <v>0</v>
      </c>
      <c r="F30" s="22">
        <v>0</v>
      </c>
      <c r="G30" s="15"/>
      <c r="H30" s="22"/>
      <c r="I30" s="22"/>
    </row>
    <row r="31" spans="2:12" s="2" customFormat="1" ht="18" customHeight="1" x14ac:dyDescent="0.2">
      <c r="B31" s="65" t="s">
        <v>22</v>
      </c>
      <c r="C31" s="66"/>
      <c r="D31" s="48"/>
      <c r="E31" s="23"/>
      <c r="F31" s="23"/>
      <c r="G31" s="23"/>
      <c r="H31" s="23"/>
      <c r="I31" s="23"/>
    </row>
    <row r="32" spans="2:12" s="2" customFormat="1" ht="18.75" x14ac:dyDescent="0.2">
      <c r="B32" s="65"/>
      <c r="C32" s="66"/>
      <c r="D32" s="49"/>
      <c r="E32" s="24"/>
      <c r="F32" s="24"/>
      <c r="G32" s="24"/>
      <c r="H32" s="24"/>
      <c r="I32" s="24"/>
    </row>
    <row r="33" spans="2:12" s="2" customFormat="1" ht="18.75" x14ac:dyDescent="0.2">
      <c r="B33" s="65"/>
      <c r="C33" s="66"/>
      <c r="D33" s="50"/>
      <c r="E33" s="25"/>
      <c r="F33" s="25"/>
      <c r="G33" s="25"/>
      <c r="H33" s="25"/>
      <c r="I33" s="25"/>
    </row>
    <row r="34" spans="2:12" ht="18.75" x14ac:dyDescent="0.2">
      <c r="B34" s="65"/>
      <c r="C34" s="66"/>
      <c r="D34" s="51"/>
      <c r="E34" s="26"/>
      <c r="F34" s="26"/>
      <c r="G34" s="26"/>
      <c r="H34" s="26"/>
      <c r="I34" s="26"/>
      <c r="J34" s="2"/>
      <c r="K34" s="1"/>
      <c r="L34" s="1"/>
    </row>
    <row r="35" spans="2:12" x14ac:dyDescent="0.2">
      <c r="J35" s="3"/>
      <c r="K35" s="1"/>
      <c r="L35" s="1"/>
    </row>
    <row r="36" spans="2:12" x14ac:dyDescent="0.2">
      <c r="J36" s="3"/>
      <c r="K36" s="1"/>
      <c r="L36" s="1"/>
    </row>
    <row r="37" spans="2:12" ht="18.75" x14ac:dyDescent="0.2">
      <c r="D37" s="36"/>
      <c r="E37" s="36"/>
      <c r="F37" s="37"/>
      <c r="G37" s="38"/>
      <c r="H37" s="39"/>
      <c r="I37" s="36"/>
      <c r="J37" s="3"/>
      <c r="K37" s="1"/>
      <c r="L37" s="1"/>
    </row>
    <row r="38" spans="2:12" ht="18.75" x14ac:dyDescent="0.2">
      <c r="D38" s="36"/>
      <c r="E38" s="36"/>
      <c r="F38" s="37"/>
      <c r="G38" s="40"/>
      <c r="H38" s="39"/>
      <c r="I38" s="36"/>
    </row>
    <row r="39" spans="2:12" ht="18.75" x14ac:dyDescent="0.2">
      <c r="D39" s="36"/>
      <c r="E39" s="36"/>
      <c r="F39" s="37"/>
      <c r="G39" s="40"/>
      <c r="H39" s="39"/>
      <c r="I39" s="36"/>
    </row>
    <row r="40" spans="2:12" ht="18.75" x14ac:dyDescent="0.2">
      <c r="D40" s="36"/>
      <c r="E40" s="36"/>
      <c r="F40" s="37"/>
      <c r="G40" s="40"/>
      <c r="H40" s="39"/>
      <c r="I40" s="36"/>
    </row>
    <row r="41" spans="2:12" ht="18.75" x14ac:dyDescent="0.2">
      <c r="D41" s="36"/>
      <c r="E41" s="36"/>
      <c r="F41" s="37"/>
      <c r="G41" s="40"/>
      <c r="H41" s="39"/>
      <c r="I41" s="36"/>
    </row>
    <row r="42" spans="2:12" ht="18.75" x14ac:dyDescent="0.2">
      <c r="D42" s="36"/>
      <c r="E42" s="36"/>
      <c r="F42" s="37"/>
      <c r="G42" s="40"/>
      <c r="H42" s="39"/>
      <c r="I42" s="36"/>
    </row>
  </sheetData>
  <mergeCells count="5">
    <mergeCell ref="J7:L7"/>
    <mergeCell ref="B28:C28"/>
    <mergeCell ref="B29:C29"/>
    <mergeCell ref="B30:C30"/>
    <mergeCell ref="B31:C34"/>
  </mergeCells>
  <conditionalFormatting sqref="B8:C8">
    <cfRule type="expression" dxfId="23" priority="2">
      <formula>AND(B$25=MIN($D$25:$I$25),B$25&lt;&gt;0)</formula>
    </cfRule>
  </conditionalFormatting>
  <conditionalFormatting sqref="D12:F13">
    <cfRule type="expression" dxfId="22" priority="1">
      <formula>AND(D$25=MIN($D$25:$I$25),D$25&lt;&gt;0)</formula>
    </cfRule>
  </conditionalFormatting>
  <conditionalFormatting sqref="D8:I8 D25:I25">
    <cfRule type="expression" dxfId="21" priority="3">
      <formula>AND(D$25=MIN($D$25:$I$25),D$25&lt;&gt;0)</formula>
    </cfRule>
  </conditionalFormatting>
  <conditionalFormatting sqref="D9:I11 G12:I13 D14:I24">
    <cfRule type="expression" dxfId="20" priority="4">
      <formula>AND(D$25=MIN($D$25:$I$25),D$25&lt;&gt;0)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AE56-CD5F-4FE8-81F0-13B03EB78A36}">
  <dimension ref="B1:N42"/>
  <sheetViews>
    <sheetView showGridLines="0" topLeftCell="A6" zoomScale="90" zoomScaleNormal="90" workbookViewId="0">
      <selection activeCell="B13" sqref="B13"/>
    </sheetView>
  </sheetViews>
  <sheetFormatPr baseColWidth="10" defaultColWidth="9.33203125" defaultRowHeight="12.75" x14ac:dyDescent="0.2"/>
  <cols>
    <col min="1" max="1" width="4" style="1" customWidth="1"/>
    <col min="2" max="2" width="110.83203125" style="1" bestFit="1" customWidth="1"/>
    <col min="3" max="3" width="15.6640625" style="1" bestFit="1" customWidth="1"/>
    <col min="4" max="5" width="23.5" style="1" bestFit="1" customWidth="1"/>
    <col min="6" max="6" width="23.33203125" style="1" bestFit="1" customWidth="1"/>
    <col min="7" max="8" width="22.33203125" style="1" bestFit="1" customWidth="1"/>
    <col min="9" max="9" width="22.33203125" style="1" customWidth="1"/>
    <col min="10" max="10" width="27.33203125" style="1" customWidth="1"/>
    <col min="11" max="11" width="23.5" style="3" customWidth="1"/>
    <col min="12" max="12" width="24.83203125" style="3" customWidth="1"/>
    <col min="13" max="13" width="20.5" style="1" customWidth="1"/>
    <col min="14" max="14" width="20.6640625" style="1" customWidth="1"/>
    <col min="15" max="16384" width="9.33203125" style="1"/>
  </cols>
  <sheetData>
    <row r="1" spans="2:14" ht="15" customHeight="1" x14ac:dyDescent="0.2"/>
    <row r="2" spans="2:14" customFormat="1" ht="54.95" customHeight="1" x14ac:dyDescent="0.2">
      <c r="B2" s="5"/>
      <c r="C2" s="5"/>
      <c r="D2" s="5"/>
      <c r="E2" s="5"/>
      <c r="F2" s="5"/>
      <c r="G2" s="5"/>
      <c r="H2" s="5"/>
      <c r="I2" s="30"/>
      <c r="J2" s="30"/>
      <c r="K2" s="30"/>
      <c r="L2" s="30"/>
    </row>
    <row r="3" spans="2:14" ht="15" customHeight="1" x14ac:dyDescent="0.2"/>
    <row r="4" spans="2:14" ht="15" customHeight="1" x14ac:dyDescent="0.2"/>
    <row r="5" spans="2:14" ht="28.5" x14ac:dyDescent="0.2">
      <c r="B5" s="16" t="s">
        <v>1</v>
      </c>
      <c r="C5" s="16"/>
    </row>
    <row r="6" spans="2:14" ht="29.25" thickBot="1" x14ac:dyDescent="0.25">
      <c r="B6" s="17" t="s">
        <v>2</v>
      </c>
      <c r="C6" s="17"/>
      <c r="D6" s="16"/>
      <c r="E6" s="16"/>
      <c r="F6" s="16"/>
      <c r="G6" s="16"/>
      <c r="H6" s="16"/>
      <c r="I6" s="16"/>
      <c r="J6" s="4"/>
      <c r="K6" s="4"/>
      <c r="L6" s="4"/>
      <c r="M6" s="4"/>
      <c r="N6" s="4"/>
    </row>
    <row r="7" spans="2:14" ht="24.75" customHeight="1" thickBot="1" x14ac:dyDescent="0.25">
      <c r="J7" s="62" t="s">
        <v>3</v>
      </c>
      <c r="K7" s="63"/>
      <c r="L7" s="64"/>
    </row>
    <row r="8" spans="2:14" s="6" customFormat="1" ht="46.5" customHeight="1" thickBot="1" x14ac:dyDescent="0.3">
      <c r="B8" s="31" t="s">
        <v>4</v>
      </c>
      <c r="C8" s="31" t="s">
        <v>5</v>
      </c>
      <c r="D8" s="31" t="s">
        <v>6</v>
      </c>
      <c r="E8" s="31" t="s">
        <v>7</v>
      </c>
      <c r="F8" s="31" t="s">
        <v>8</v>
      </c>
      <c r="G8" s="31" t="s">
        <v>9</v>
      </c>
      <c r="H8" s="31" t="s">
        <v>10</v>
      </c>
      <c r="I8" s="31" t="s">
        <v>11</v>
      </c>
      <c r="J8" s="11" t="s">
        <v>12</v>
      </c>
      <c r="K8" s="10" t="s">
        <v>13</v>
      </c>
      <c r="L8" s="12" t="s">
        <v>14</v>
      </c>
    </row>
    <row r="9" spans="2:14" s="7" customFormat="1" ht="19.5" thickBot="1" x14ac:dyDescent="0.35">
      <c r="B9" s="56" t="str">
        <f>+'[1]Pc Doctor'!$D$8</f>
        <v>HP Envy 34 (34 pulgadas)</v>
      </c>
      <c r="C9" s="57">
        <v>1</v>
      </c>
      <c r="D9" s="9">
        <f>+'[1]Pc Doctor'!$H$8</f>
        <v>16900000</v>
      </c>
      <c r="E9" s="9">
        <f>+'[1]Pc Doctor'!$H$9</f>
        <v>12916200</v>
      </c>
      <c r="F9" s="9">
        <f>+'[1]Pc Doctor'!$H$10</f>
        <v>14753990</v>
      </c>
      <c r="G9" s="9"/>
      <c r="H9" s="9"/>
      <c r="I9" s="9"/>
      <c r="J9" s="13">
        <f>MIN(Comparación_precios24[[#This Row],[PROVEEDOR 1]:[PROVEEDOR 6]])</f>
        <v>12916200</v>
      </c>
      <c r="K9" s="8">
        <f>IFERROR(AVERAGE(Comparación_precios24[[#This Row],[PROVEEDOR 1]:[PROVEEDOR 6]]),0)</f>
        <v>14856730</v>
      </c>
      <c r="L9" s="14">
        <f>MAX(Comparación_precios24[[#This Row],[PROVEEDOR 1]:[PROVEEDOR 6]])</f>
        <v>16900000</v>
      </c>
    </row>
    <row r="10" spans="2:14" s="7" customFormat="1" ht="19.5" thickBot="1" x14ac:dyDescent="0.35">
      <c r="B10" s="56" t="str">
        <f>+'[1]SOFTWARE NECESARIO(windows)'!$D$8</f>
        <v>Windows 10 Professional</v>
      </c>
      <c r="C10" s="57">
        <v>1</v>
      </c>
      <c r="D10" s="9">
        <f>+'[1]SOFTWARE NECESARIO(windows)'!$H$8</f>
        <v>44900</v>
      </c>
      <c r="E10" s="9">
        <f>+'[1]SOFTWARE NECESARIO(windows)'!$H$9</f>
        <v>22500</v>
      </c>
      <c r="F10" s="9">
        <f>+'[1]SOFTWARE NECESARIO(windows)'!$H$10</f>
        <v>43000</v>
      </c>
      <c r="G10" s="9"/>
      <c r="H10" s="9"/>
      <c r="I10" s="9"/>
      <c r="J10" s="13">
        <f>MIN(Comparación_precios24[[#This Row],[PROVEEDOR 1]:[PROVEEDOR 6]])</f>
        <v>22500</v>
      </c>
      <c r="K10" s="8">
        <f>IFERROR(AVERAGE(Comparación_precios24[[#This Row],[PROVEEDOR 1]:[PROVEEDOR 6]]),0)</f>
        <v>36800</v>
      </c>
      <c r="L10" s="14">
        <f>MAX(Comparación_precios24[[#This Row],[PROVEEDOR 1]:[PROVEEDOR 6]])</f>
        <v>44900</v>
      </c>
    </row>
    <row r="11" spans="2:14" s="7" customFormat="1" ht="19.5" thickBot="1" x14ac:dyDescent="0.35">
      <c r="B11" s="56" t="str">
        <f>+'[1]SOFTWARE NECESARIO(office2021)'!$D$8</f>
        <v>Office 2021</v>
      </c>
      <c r="C11" s="57">
        <v>1</v>
      </c>
      <c r="D11" s="9">
        <f>+'[1]SOFTWARE NECESARIO(office2021)'!$H$8</f>
        <v>66000</v>
      </c>
      <c r="E11" s="58">
        <f>+'[1]SOFTWARE NECESARIO(office2021)'!$H$9</f>
        <v>99960</v>
      </c>
      <c r="F11" s="9">
        <f>+'[1]SOFTWARE NECESARIO(office2021)'!$H$10</f>
        <v>119800</v>
      </c>
      <c r="G11" s="9"/>
      <c r="H11" s="9"/>
      <c r="I11" s="9"/>
      <c r="J11" s="13">
        <f>MIN(Comparación_precios24[[#This Row],[PROVEEDOR 1]:[PROVEEDOR 6]])</f>
        <v>66000</v>
      </c>
      <c r="K11" s="8">
        <f>IFERROR(AVERAGE(Comparación_precios24[[#This Row],[PROVEEDOR 1]:[PROVEEDOR 6]]),0)</f>
        <v>95253.333333333328</v>
      </c>
      <c r="L11" s="14">
        <f>MAX(Comparación_precios24[[#This Row],[PROVEEDOR 1]:[PROVEEDOR 6]])</f>
        <v>119800</v>
      </c>
    </row>
    <row r="12" spans="2:14" s="7" customFormat="1" ht="19.5" thickBot="1" x14ac:dyDescent="0.35">
      <c r="B12" s="56" t="str">
        <f>+'[1]Mouse admin'!$D$8</f>
        <v>Wireless Logitech Mx Master 3s</v>
      </c>
      <c r="C12" s="57">
        <v>1</v>
      </c>
      <c r="D12" s="9">
        <f>+'[1]Mouse admin'!$H$8</f>
        <v>579900</v>
      </c>
      <c r="E12" s="9">
        <f>+'[1]Mouse admin'!$H$9</f>
        <v>699900</v>
      </c>
      <c r="F12" s="9">
        <f>+'[1]Mouse admin'!$H$10</f>
        <v>334230</v>
      </c>
      <c r="G12" s="9"/>
      <c r="H12" s="9"/>
      <c r="I12" s="9"/>
      <c r="J12" s="13">
        <f>MIN(Comparación_precios24[[#This Row],[PROVEEDOR 1]:[PROVEEDOR 6]])</f>
        <v>334230</v>
      </c>
      <c r="K12" s="8">
        <f>IFERROR(AVERAGE(Comparación_precios24[[#This Row],[PROVEEDOR 1]:[PROVEEDOR 6]]),0)</f>
        <v>538010</v>
      </c>
      <c r="L12" s="14">
        <f>MAX(Comparación_precios24[[#This Row],[PROVEEDOR 1]:[PROVEEDOR 6]])</f>
        <v>699900</v>
      </c>
    </row>
    <row r="13" spans="2:14" s="7" customFormat="1" ht="19.5" thickBot="1" x14ac:dyDescent="0.35">
      <c r="B13" s="56"/>
      <c r="C13" s="57"/>
      <c r="D13" s="9"/>
      <c r="E13" s="9"/>
      <c r="F13" s="9"/>
      <c r="G13" s="9"/>
      <c r="H13" s="9"/>
      <c r="I13" s="9"/>
      <c r="J13" s="13">
        <f>MIN(Comparación_precios24[[#This Row],[PROVEEDOR 1]:[PROVEEDOR 6]])</f>
        <v>0</v>
      </c>
      <c r="K13" s="8">
        <f>IFERROR(AVERAGE(Comparación_precios24[[#This Row],[PROVEEDOR 1]:[PROVEEDOR 6]]),0)</f>
        <v>0</v>
      </c>
      <c r="L13" s="14">
        <f>MAX(Comparación_precios24[[#This Row],[PROVEEDOR 1]:[PROVEEDOR 6]])</f>
        <v>0</v>
      </c>
    </row>
    <row r="14" spans="2:14" s="7" customFormat="1" ht="19.5" thickBot="1" x14ac:dyDescent="0.35">
      <c r="B14" s="56"/>
      <c r="C14" s="57"/>
      <c r="D14" s="9"/>
      <c r="E14" s="9"/>
      <c r="F14" s="9"/>
      <c r="G14" s="9"/>
      <c r="H14" s="9"/>
      <c r="I14" s="9"/>
      <c r="J14" s="27">
        <f>MIN(Comparación_precios24[[#This Row],[PROVEEDOR 1]:[PROVEEDOR 6]])</f>
        <v>0</v>
      </c>
      <c r="K14" s="28">
        <f>IFERROR(AVERAGE(Comparación_precios24[[#This Row],[PROVEEDOR 1]:[PROVEEDOR 6]]),0)</f>
        <v>0</v>
      </c>
      <c r="L14" s="29">
        <f>MAX(Comparación_precios24[[#This Row],[PROVEEDOR 1]:[PROVEEDOR 6]])</f>
        <v>0</v>
      </c>
    </row>
    <row r="15" spans="2:14" s="2" customFormat="1" ht="19.5" thickBot="1" x14ac:dyDescent="0.35">
      <c r="B15" s="59"/>
      <c r="C15" s="57"/>
      <c r="D15" s="9"/>
      <c r="E15" s="44"/>
      <c r="F15" s="44"/>
      <c r="G15" s="44"/>
      <c r="H15" s="44"/>
      <c r="I15" s="44"/>
      <c r="J15" s="27">
        <f>MIN(Comparación_precios24[[#This Row],[PROVEEDOR 1]:[PROVEEDOR 6]])</f>
        <v>0</v>
      </c>
      <c r="K15" s="8">
        <f>IFERROR(AVERAGE(Comparación_precios24[[#This Row],[PROVEEDOR 1]:[PROVEEDOR 6]]),0)</f>
        <v>0</v>
      </c>
      <c r="L15" s="14">
        <f>MAX(Comparación_precios24[[#This Row],[PROVEEDOR 1]:[PROVEEDOR 6]])</f>
        <v>0</v>
      </c>
    </row>
    <row r="16" spans="2:14" s="2" customFormat="1" ht="19.5" thickBot="1" x14ac:dyDescent="0.35">
      <c r="B16" s="59"/>
      <c r="C16" s="57"/>
      <c r="D16" s="9"/>
      <c r="E16" s="44"/>
      <c r="F16" s="44"/>
      <c r="G16" s="44"/>
      <c r="H16" s="44"/>
      <c r="I16" s="44"/>
      <c r="J16" s="27">
        <f>MIN(Comparación_precios24[[#This Row],[PROVEEDOR 1]:[PROVEEDOR 6]])</f>
        <v>0</v>
      </c>
      <c r="K16" s="8">
        <f>IFERROR(AVERAGE(Comparación_precios24[[#This Row],[PROVEEDOR 1]:[PROVEEDOR 6]]),0)</f>
        <v>0</v>
      </c>
      <c r="L16" s="14">
        <f>MAX(Comparación_precios24[[#This Row],[PROVEEDOR 1]:[PROVEEDOR 6]])</f>
        <v>0</v>
      </c>
    </row>
    <row r="17" spans="2:12" s="2" customFormat="1" ht="19.5" thickBot="1" x14ac:dyDescent="0.35">
      <c r="B17" s="59"/>
      <c r="C17" s="57"/>
      <c r="D17" s="9"/>
      <c r="E17" s="44"/>
      <c r="F17" s="44"/>
      <c r="G17" s="44"/>
      <c r="H17" s="44"/>
      <c r="I17" s="44"/>
      <c r="J17" s="27">
        <f>MIN(Comparación_precios24[[#This Row],[PROVEEDOR 1]:[PROVEEDOR 6]])</f>
        <v>0</v>
      </c>
      <c r="K17" s="28">
        <f>IFERROR(AVERAGE(Comparación_precios24[[#This Row],[PROVEEDOR 1]:[PROVEEDOR 6]]),0)</f>
        <v>0</v>
      </c>
      <c r="L17" s="29">
        <f>MAX(Comparación_precios24[[#This Row],[PROVEEDOR 1]:[PROVEEDOR 6]])</f>
        <v>0</v>
      </c>
    </row>
    <row r="18" spans="2:12" s="2" customFormat="1" ht="19.5" thickBot="1" x14ac:dyDescent="0.35">
      <c r="B18" s="60"/>
      <c r="C18" s="57"/>
      <c r="D18" s="9"/>
      <c r="E18" s="43"/>
      <c r="F18" s="43"/>
      <c r="G18" s="43"/>
      <c r="H18" s="41"/>
      <c r="I18" s="55"/>
      <c r="J18" s="27">
        <f>MIN(Comparación_precios24[[#This Row],[PROVEEDOR 1]:[PROVEEDOR 6]])</f>
        <v>0</v>
      </c>
      <c r="K18" s="8">
        <f>IFERROR(AVERAGE(Comparación_precios24[[#This Row],[PROVEEDOR 1]:[PROVEEDOR 6]]),0)</f>
        <v>0</v>
      </c>
      <c r="L18" s="14">
        <f>MAX(Comparación_precios24[[#This Row],[PROVEEDOR 1]:[PROVEEDOR 6]])</f>
        <v>0</v>
      </c>
    </row>
    <row r="19" spans="2:12" s="2" customFormat="1" ht="19.5" thickBot="1" x14ac:dyDescent="0.35">
      <c r="B19" s="41"/>
      <c r="C19" s="57"/>
      <c r="D19" s="9"/>
      <c r="E19" s="43"/>
      <c r="F19" s="43"/>
      <c r="G19" s="43"/>
      <c r="H19" s="41"/>
      <c r="I19" s="55"/>
      <c r="J19" s="27">
        <f>MIN(Comparación_precios24[[#This Row],[PROVEEDOR 1]:[PROVEEDOR 6]])</f>
        <v>0</v>
      </c>
      <c r="K19" s="8">
        <f>IFERROR(AVERAGE(Comparación_precios24[[#This Row],[PROVEEDOR 1]:[PROVEEDOR 6]]),0)</f>
        <v>0</v>
      </c>
      <c r="L19" s="14">
        <f>MAX(Comparación_precios24[[#This Row],[PROVEEDOR 1]:[PROVEEDOR 6]])</f>
        <v>0</v>
      </c>
    </row>
    <row r="20" spans="2:12" s="2" customFormat="1" ht="19.5" thickBot="1" x14ac:dyDescent="0.35">
      <c r="B20" s="41"/>
      <c r="C20" s="42"/>
      <c r="D20" s="9"/>
      <c r="E20" s="43"/>
      <c r="F20" s="43"/>
      <c r="G20" s="43"/>
      <c r="H20" s="41"/>
      <c r="I20" s="55"/>
      <c r="J20" s="27">
        <f>MIN(Comparación_precios24[[#This Row],[PROVEEDOR 1]:[PROVEEDOR 6]])</f>
        <v>0</v>
      </c>
      <c r="K20" s="8">
        <f>IFERROR(AVERAGE(Comparación_precios24[[#This Row],[PROVEEDOR 1]:[PROVEEDOR 6]]),0)</f>
        <v>0</v>
      </c>
      <c r="L20" s="14">
        <f>MAX(Comparación_precios24[[#This Row],[PROVEEDOR 1]:[PROVEEDOR 6]])</f>
        <v>0</v>
      </c>
    </row>
    <row r="21" spans="2:12" s="2" customFormat="1" ht="19.5" thickBot="1" x14ac:dyDescent="0.35">
      <c r="B21" s="41"/>
      <c r="C21" s="42"/>
      <c r="D21" s="9"/>
      <c r="E21" s="43"/>
      <c r="F21" s="43"/>
      <c r="G21" s="43"/>
      <c r="H21" s="41"/>
      <c r="I21" s="55"/>
      <c r="J21" s="27">
        <f>MIN(Comparación_precios24[[#This Row],[PROVEEDOR 1]:[PROVEEDOR 6]])</f>
        <v>0</v>
      </c>
      <c r="K21" s="8">
        <f>IFERROR(AVERAGE(Comparación_precios24[[#This Row],[PROVEEDOR 1]:[PROVEEDOR 6]]),0)</f>
        <v>0</v>
      </c>
      <c r="L21" s="14">
        <f>MAX(Comparación_precios24[[#This Row],[PROVEEDOR 1]:[PROVEEDOR 6]])</f>
        <v>0</v>
      </c>
    </row>
    <row r="22" spans="2:12" s="2" customFormat="1" ht="19.5" thickBot="1" x14ac:dyDescent="0.35">
      <c r="B22" s="41"/>
      <c r="C22" s="42"/>
      <c r="D22" s="9"/>
      <c r="E22" s="43"/>
      <c r="F22" s="43"/>
      <c r="G22" s="43"/>
      <c r="H22" s="41"/>
      <c r="I22" s="55"/>
      <c r="J22" s="27">
        <f>MIN(Comparación_precios24[[#This Row],[PROVEEDOR 1]:[PROVEEDOR 6]])</f>
        <v>0</v>
      </c>
      <c r="K22" s="8">
        <f>IFERROR(AVERAGE(Comparación_precios24[[#This Row],[PROVEEDOR 1]:[PROVEEDOR 6]]),0)</f>
        <v>0</v>
      </c>
      <c r="L22" s="14">
        <f>MAX(Comparación_precios24[[#This Row],[PROVEEDOR 1]:[PROVEEDOR 6]])</f>
        <v>0</v>
      </c>
    </row>
    <row r="23" spans="2:12" s="2" customFormat="1" ht="19.5" thickBot="1" x14ac:dyDescent="0.35">
      <c r="B23" s="41"/>
      <c r="C23" s="42"/>
      <c r="D23" s="9"/>
      <c r="E23" s="43"/>
      <c r="F23" s="43"/>
      <c r="G23" s="43"/>
      <c r="H23" s="41"/>
      <c r="I23" s="55"/>
      <c r="J23" s="27">
        <f>MIN(Comparación_precios24[[#This Row],[PROVEEDOR 1]:[PROVEEDOR 6]])</f>
        <v>0</v>
      </c>
      <c r="K23" s="8">
        <f>IFERROR(AVERAGE(Comparación_precios24[[#This Row],[PROVEEDOR 1]:[PROVEEDOR 6]]),0)</f>
        <v>0</v>
      </c>
      <c r="L23" s="14">
        <f>MAX(Comparación_precios24[[#This Row],[PROVEEDOR 1]:[PROVEEDOR 6]])</f>
        <v>0</v>
      </c>
    </row>
    <row r="24" spans="2:12" s="2" customFormat="1" ht="19.5" thickBot="1" x14ac:dyDescent="0.35">
      <c r="B24" s="41"/>
      <c r="C24" s="42"/>
      <c r="D24" s="9"/>
      <c r="E24" s="43"/>
      <c r="F24" s="43"/>
      <c r="G24" s="43"/>
      <c r="H24" s="41"/>
      <c r="I24" s="55"/>
      <c r="J24" s="27">
        <f>MIN(Comparación_precios24[[#This Row],[PROVEEDOR 1]:[PROVEEDOR 6]])</f>
        <v>0</v>
      </c>
      <c r="K24" s="8">
        <f>IFERROR(AVERAGE(Comparación_precios24[[#This Row],[PROVEEDOR 1]:[PROVEEDOR 6]]),0)</f>
        <v>0</v>
      </c>
      <c r="L24" s="14">
        <f>MAX(Comparación_precios24[[#This Row],[PROVEEDOR 1]:[PROVEEDOR 6]])</f>
        <v>0</v>
      </c>
    </row>
    <row r="25" spans="2:12" s="2" customFormat="1" ht="19.5" thickBot="1" x14ac:dyDescent="0.35">
      <c r="B25" s="32" t="s">
        <v>15</v>
      </c>
      <c r="C25" s="32"/>
      <c r="D25" s="33">
        <f>ROUND(SUMPRODUCT(Comparación_precios24[[CANTIDAD]:[CANTIDAD]],Comparación_precios24[PROVEEDOR 1]),2)</f>
        <v>17590800</v>
      </c>
      <c r="E25" s="33">
        <f>ROUND(SUMPRODUCT(Comparación_precios24[[CANTIDAD]:[CANTIDAD]],Comparación_precios24[PROVEEDOR 2]),2)</f>
        <v>13738560</v>
      </c>
      <c r="F25" s="33">
        <f>ROUND(SUMPRODUCT(Comparación_precios24[[CANTIDAD]:[CANTIDAD]],Comparación_precios24[PROVEEDOR 3]),2)</f>
        <v>15251020</v>
      </c>
      <c r="G25" s="33">
        <f>ROUND(SUMPRODUCT(Comparación_precios24[[CANTIDAD]:[CANTIDAD]],Comparación_precios24[PROVEEDOR 4]),2)</f>
        <v>0</v>
      </c>
      <c r="H25" s="33">
        <f>ROUND(SUMPRODUCT(Comparación_precios24[[CANTIDAD]:[CANTIDAD]],Comparación_precios24[PROVEEDOR 5]),2)</f>
        <v>0</v>
      </c>
      <c r="I25" s="33">
        <f>ROUND(SUMPRODUCT(Comparación_precios24[[CANTIDAD]:[CANTIDAD]],Comparación_precios24[PROVEEDOR 6]),2)</f>
        <v>0</v>
      </c>
      <c r="J25" s="34"/>
      <c r="K25" s="34"/>
      <c r="L25" s="35"/>
    </row>
    <row r="26" spans="2:12" s="2" customFormat="1" x14ac:dyDescent="0.2">
      <c r="B26" s="1"/>
      <c r="C26" s="1"/>
      <c r="D26" s="1"/>
      <c r="E26" s="1"/>
      <c r="F26" s="1"/>
      <c r="G26" s="1"/>
      <c r="H26" s="1"/>
      <c r="I26" s="1"/>
      <c r="J26" s="1"/>
      <c r="K26" s="3"/>
      <c r="L26" s="3"/>
    </row>
    <row r="27" spans="2:12" s="2" customFormat="1" ht="13.5" thickBot="1" x14ac:dyDescent="0.25"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</row>
    <row r="28" spans="2:12" s="2" customFormat="1" ht="48.6" customHeight="1" x14ac:dyDescent="0.2">
      <c r="B28" s="67" t="s">
        <v>16</v>
      </c>
      <c r="C28" s="68"/>
      <c r="D28" s="21"/>
      <c r="E28" s="21"/>
      <c r="F28" s="21"/>
      <c r="G28" s="21"/>
      <c r="H28" s="21"/>
    </row>
    <row r="29" spans="2:12" s="2" customFormat="1" ht="33.6" customHeight="1" x14ac:dyDescent="0.2">
      <c r="B29" s="65" t="s">
        <v>17</v>
      </c>
      <c r="C29" s="66"/>
      <c r="D29" s="61" t="s">
        <v>25</v>
      </c>
      <c r="E29" s="15" t="s">
        <v>26</v>
      </c>
      <c r="F29" s="46" t="s">
        <v>18</v>
      </c>
      <c r="G29" s="15"/>
      <c r="H29" s="15"/>
      <c r="I29" s="15"/>
    </row>
    <row r="30" spans="2:12" s="2" customFormat="1" ht="25.9" customHeight="1" x14ac:dyDescent="0.2">
      <c r="B30" s="65" t="s">
        <v>21</v>
      </c>
      <c r="C30" s="66"/>
      <c r="D30" s="47">
        <v>0</v>
      </c>
      <c r="E30" s="22">
        <v>0</v>
      </c>
      <c r="F30" s="22">
        <v>0</v>
      </c>
      <c r="G30" s="15"/>
      <c r="H30" s="22"/>
      <c r="I30" s="22"/>
    </row>
    <row r="31" spans="2:12" s="2" customFormat="1" ht="18" customHeight="1" x14ac:dyDescent="0.2">
      <c r="B31" s="65" t="s">
        <v>22</v>
      </c>
      <c r="C31" s="66"/>
      <c r="D31" s="48"/>
      <c r="E31" s="23"/>
      <c r="F31" s="23"/>
      <c r="G31" s="23"/>
      <c r="H31" s="23"/>
      <c r="I31" s="23"/>
    </row>
    <row r="32" spans="2:12" s="2" customFormat="1" ht="18.75" x14ac:dyDescent="0.2">
      <c r="B32" s="65"/>
      <c r="C32" s="66"/>
      <c r="D32" s="49"/>
      <c r="E32" s="24"/>
      <c r="F32" s="24"/>
      <c r="G32" s="24"/>
      <c r="H32" s="24"/>
      <c r="I32" s="24"/>
    </row>
    <row r="33" spans="2:12" s="2" customFormat="1" ht="18.75" x14ac:dyDescent="0.2">
      <c r="B33" s="65"/>
      <c r="C33" s="66"/>
      <c r="D33" s="50"/>
      <c r="E33" s="25"/>
      <c r="F33" s="25"/>
      <c r="G33" s="25"/>
      <c r="H33" s="25"/>
      <c r="I33" s="25"/>
    </row>
    <row r="34" spans="2:12" ht="18.75" x14ac:dyDescent="0.2">
      <c r="B34" s="65"/>
      <c r="C34" s="66"/>
      <c r="D34" s="51"/>
      <c r="E34" s="26"/>
      <c r="F34" s="26"/>
      <c r="G34" s="26"/>
      <c r="H34" s="26"/>
      <c r="I34" s="26"/>
      <c r="J34" s="2"/>
      <c r="K34" s="1"/>
      <c r="L34" s="1"/>
    </row>
    <row r="35" spans="2:12" x14ac:dyDescent="0.2">
      <c r="J35" s="3"/>
      <c r="K35" s="1"/>
      <c r="L35" s="1"/>
    </row>
    <row r="36" spans="2:12" x14ac:dyDescent="0.2">
      <c r="J36" s="3"/>
      <c r="K36" s="1"/>
      <c r="L36" s="1"/>
    </row>
    <row r="37" spans="2:12" ht="18.75" x14ac:dyDescent="0.2">
      <c r="D37" s="36"/>
      <c r="E37" s="36"/>
      <c r="F37" s="37"/>
      <c r="G37" s="38"/>
      <c r="H37" s="39"/>
      <c r="I37" s="36"/>
      <c r="J37" s="3"/>
      <c r="K37" s="1"/>
      <c r="L37" s="1"/>
    </row>
    <row r="38" spans="2:12" ht="18.75" x14ac:dyDescent="0.2">
      <c r="D38" s="36"/>
      <c r="E38" s="36"/>
      <c r="F38" s="37"/>
      <c r="G38" s="40"/>
      <c r="H38" s="39"/>
      <c r="I38" s="36"/>
    </row>
    <row r="39" spans="2:12" ht="18.75" x14ac:dyDescent="0.2">
      <c r="D39" s="36"/>
      <c r="E39" s="36"/>
      <c r="F39" s="37"/>
      <c r="G39" s="40"/>
      <c r="H39" s="39"/>
      <c r="I39" s="36"/>
    </row>
    <row r="40" spans="2:12" ht="18.75" x14ac:dyDescent="0.2">
      <c r="D40" s="36"/>
      <c r="E40" s="36"/>
      <c r="F40" s="37"/>
      <c r="G40" s="40"/>
      <c r="H40" s="39"/>
      <c r="I40" s="36"/>
    </row>
    <row r="41" spans="2:12" ht="18.75" x14ac:dyDescent="0.2">
      <c r="D41" s="36"/>
      <c r="E41" s="36"/>
      <c r="F41" s="37"/>
      <c r="G41" s="40"/>
      <c r="H41" s="39"/>
      <c r="I41" s="36"/>
    </row>
    <row r="42" spans="2:12" ht="18.75" x14ac:dyDescent="0.2">
      <c r="D42" s="36"/>
      <c r="E42" s="36"/>
      <c r="F42" s="37"/>
      <c r="G42" s="40"/>
      <c r="H42" s="39"/>
      <c r="I42" s="36"/>
    </row>
  </sheetData>
  <mergeCells count="5">
    <mergeCell ref="J7:L7"/>
    <mergeCell ref="B28:C28"/>
    <mergeCell ref="B29:C29"/>
    <mergeCell ref="B30:C30"/>
    <mergeCell ref="B31:C34"/>
  </mergeCells>
  <conditionalFormatting sqref="B8:C8">
    <cfRule type="expression" dxfId="19" priority="2">
      <formula>AND(B$25=MIN($D$25:$I$25),B$25&lt;&gt;0)</formula>
    </cfRule>
  </conditionalFormatting>
  <conditionalFormatting sqref="D12:F13">
    <cfRule type="expression" dxfId="18" priority="1">
      <formula>AND(D$25=MIN($D$25:$I$25),D$25&lt;&gt;0)</formula>
    </cfRule>
  </conditionalFormatting>
  <conditionalFormatting sqref="D8:I8 D25:I25">
    <cfRule type="expression" dxfId="17" priority="3">
      <formula>AND(D$25=MIN($D$25:$I$25),D$25&lt;&gt;0)</formula>
    </cfRule>
  </conditionalFormatting>
  <conditionalFormatting sqref="D9:I11 G12:I13 D14:I24">
    <cfRule type="expression" dxfId="16" priority="4">
      <formula>AND(D$25=MIN($D$25:$I$25),D$25&lt;&gt;0)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D7D7-A542-4EC7-ADFF-404F8D65722A}">
  <dimension ref="B1:N42"/>
  <sheetViews>
    <sheetView showGridLines="0" tabSelected="1" topLeftCell="A22" zoomScale="90" zoomScaleNormal="90" workbookViewId="0">
      <selection activeCell="E29" sqref="E29"/>
    </sheetView>
  </sheetViews>
  <sheetFormatPr baseColWidth="10" defaultColWidth="9.33203125" defaultRowHeight="12.75" x14ac:dyDescent="0.2"/>
  <cols>
    <col min="1" max="1" width="4" style="1" customWidth="1"/>
    <col min="2" max="2" width="50.33203125" style="1" customWidth="1"/>
    <col min="3" max="3" width="15.6640625" style="1" bestFit="1" customWidth="1"/>
    <col min="4" max="5" width="23.5" style="1" bestFit="1" customWidth="1"/>
    <col min="6" max="6" width="21.83203125" style="1" bestFit="1" customWidth="1"/>
    <col min="7" max="8" width="22.33203125" style="1" bestFit="1" customWidth="1"/>
    <col min="9" max="9" width="22.33203125" style="1" customWidth="1"/>
    <col min="10" max="10" width="27.33203125" style="1" customWidth="1"/>
    <col min="11" max="11" width="23.5" style="3" customWidth="1"/>
    <col min="12" max="12" width="24.83203125" style="3" customWidth="1"/>
    <col min="13" max="13" width="20.5" style="1" customWidth="1"/>
    <col min="14" max="14" width="20.6640625" style="1" customWidth="1"/>
    <col min="15" max="16384" width="9.33203125" style="1"/>
  </cols>
  <sheetData>
    <row r="1" spans="2:14" ht="15" customHeight="1" x14ac:dyDescent="0.2"/>
    <row r="2" spans="2:14" customFormat="1" ht="54.95" customHeight="1" x14ac:dyDescent="0.2">
      <c r="B2" s="5"/>
      <c r="C2" s="5"/>
      <c r="D2" s="5"/>
      <c r="E2" s="5"/>
      <c r="F2" s="5"/>
      <c r="G2" s="5"/>
      <c r="H2" s="5"/>
      <c r="I2" s="30"/>
      <c r="J2" s="30"/>
      <c r="K2" s="30"/>
      <c r="L2" s="30"/>
    </row>
    <row r="3" spans="2:14" ht="15" customHeight="1" x14ac:dyDescent="0.2"/>
    <row r="4" spans="2:14" ht="15" customHeight="1" x14ac:dyDescent="0.2"/>
    <row r="5" spans="2:14" ht="28.5" x14ac:dyDescent="0.2">
      <c r="B5" s="16" t="s">
        <v>1</v>
      </c>
      <c r="C5" s="16"/>
    </row>
    <row r="6" spans="2:14" ht="29.25" thickBot="1" x14ac:dyDescent="0.25">
      <c r="B6" s="17" t="s">
        <v>2</v>
      </c>
      <c r="C6" s="17"/>
      <c r="D6" s="16"/>
      <c r="E6" s="16"/>
      <c r="F6" s="16"/>
      <c r="G6" s="16"/>
      <c r="H6" s="16"/>
      <c r="I6" s="16"/>
      <c r="J6" s="4"/>
      <c r="K6" s="4"/>
      <c r="L6" s="4"/>
      <c r="M6" s="4"/>
      <c r="N6" s="4"/>
    </row>
    <row r="7" spans="2:14" ht="24.75" customHeight="1" thickBot="1" x14ac:dyDescent="0.25">
      <c r="J7" s="62" t="s">
        <v>3</v>
      </c>
      <c r="K7" s="63"/>
      <c r="L7" s="64"/>
    </row>
    <row r="8" spans="2:14" s="6" customFormat="1" ht="46.5" customHeight="1" thickBot="1" x14ac:dyDescent="0.3">
      <c r="B8" s="31" t="s">
        <v>4</v>
      </c>
      <c r="C8" s="31" t="s">
        <v>5</v>
      </c>
      <c r="D8" s="31" t="s">
        <v>6</v>
      </c>
      <c r="E8" s="31" t="s">
        <v>7</v>
      </c>
      <c r="F8" s="31" t="s">
        <v>8</v>
      </c>
      <c r="G8" s="31" t="s">
        <v>9</v>
      </c>
      <c r="H8" s="31" t="s">
        <v>10</v>
      </c>
      <c r="I8" s="31" t="s">
        <v>11</v>
      </c>
      <c r="J8" s="11" t="s">
        <v>12</v>
      </c>
      <c r="K8" s="10" t="s">
        <v>13</v>
      </c>
      <c r="L8" s="12" t="s">
        <v>14</v>
      </c>
    </row>
    <row r="9" spans="2:14" s="7" customFormat="1" ht="19.5" thickBot="1" x14ac:dyDescent="0.35">
      <c r="B9" s="56" t="str">
        <f>+'[1]Pc  enfermeros'!$D$8</f>
        <v>Lenovo IdeaCentre AIO 3.</v>
      </c>
      <c r="C9" s="57">
        <v>1</v>
      </c>
      <c r="D9" s="9">
        <f>+'[1]Pc  enfermeros'!$H$8</f>
        <v>1699000</v>
      </c>
      <c r="E9" s="9">
        <f>+'[1]Pc  enfermeros'!$H$9</f>
        <v>1990000</v>
      </c>
      <c r="F9" s="9">
        <f>+'[1]Pc  enfermeros'!$H$10</f>
        <v>1799000</v>
      </c>
      <c r="G9" s="9"/>
      <c r="H9" s="9"/>
      <c r="I9" s="9"/>
      <c r="J9" s="13">
        <f>MIN(Comparación_precios245[[#This Row],[PROVEEDOR 1]:[PROVEEDOR 6]])</f>
        <v>1699000</v>
      </c>
      <c r="K9" s="8">
        <f>IFERROR(AVERAGE(Comparación_precios245[[#This Row],[PROVEEDOR 1]:[PROVEEDOR 6]]),0)</f>
        <v>1829333.3333333333</v>
      </c>
      <c r="L9" s="14">
        <f>MAX(Comparación_precios245[[#This Row],[PROVEEDOR 1]:[PROVEEDOR 6]])</f>
        <v>1990000</v>
      </c>
    </row>
    <row r="10" spans="2:14" s="7" customFormat="1" ht="19.5" thickBot="1" x14ac:dyDescent="0.35">
      <c r="B10" s="56" t="str">
        <f>+'[1]SOFTWARE NECESARIO(windows)'!$D$8</f>
        <v>Windows 10 Professional</v>
      </c>
      <c r="C10" s="57">
        <v>1</v>
      </c>
      <c r="D10" s="9">
        <f>+'[1]SOFTWARE NECESARIO(windows)'!$H$8</f>
        <v>44900</v>
      </c>
      <c r="E10" s="9">
        <f>+'[1]SOFTWARE NECESARIO(windows)'!$H$9</f>
        <v>22500</v>
      </c>
      <c r="F10" s="9">
        <f>+'[1]SOFTWARE NECESARIO(windows)'!$H$10</f>
        <v>43000</v>
      </c>
      <c r="G10" s="9"/>
      <c r="H10" s="9"/>
      <c r="I10" s="9"/>
      <c r="J10" s="13">
        <f>MIN(Comparación_precios245[[#This Row],[PROVEEDOR 1]:[PROVEEDOR 6]])</f>
        <v>22500</v>
      </c>
      <c r="K10" s="8">
        <f>IFERROR(AVERAGE(Comparación_precios245[[#This Row],[PROVEEDOR 1]:[PROVEEDOR 6]]),0)</f>
        <v>36800</v>
      </c>
      <c r="L10" s="14">
        <f>MAX(Comparación_precios245[[#This Row],[PROVEEDOR 1]:[PROVEEDOR 6]])</f>
        <v>44900</v>
      </c>
    </row>
    <row r="11" spans="2:14" s="7" customFormat="1" ht="19.5" thickBot="1" x14ac:dyDescent="0.35">
      <c r="B11" s="56" t="str">
        <f>+'[1]SOFTWARE NECESARIO(office2021)'!$D$8</f>
        <v>Office 2021</v>
      </c>
      <c r="C11" s="57">
        <v>1</v>
      </c>
      <c r="D11" s="9">
        <f>+'[1]SOFTWARE NECESARIO(office2021)'!$H$8</f>
        <v>66000</v>
      </c>
      <c r="E11" s="9">
        <f>+'[1]SOFTWARE NECESARIO(office2021)'!$H$9</f>
        <v>99960</v>
      </c>
      <c r="F11" s="9">
        <f>+'[1]SOFTWARE NECESARIO(office2021)'!$H$10</f>
        <v>119800</v>
      </c>
      <c r="G11" s="9"/>
      <c r="H11" s="9"/>
      <c r="I11" s="9"/>
      <c r="J11" s="13">
        <f>MIN(Comparación_precios245[[#This Row],[PROVEEDOR 1]:[PROVEEDOR 6]])</f>
        <v>66000</v>
      </c>
      <c r="K11" s="8">
        <f>IFERROR(AVERAGE(Comparación_precios245[[#This Row],[PROVEEDOR 1]:[PROVEEDOR 6]]),0)</f>
        <v>95253.333333333328</v>
      </c>
      <c r="L11" s="14">
        <f>MAX(Comparación_precios245[[#This Row],[PROVEEDOR 1]:[PROVEEDOR 6]])</f>
        <v>119800</v>
      </c>
    </row>
    <row r="12" spans="2:14" s="7" customFormat="1" ht="19.5" thickBot="1" x14ac:dyDescent="0.35">
      <c r="B12" s="56" t="str">
        <f>+'[1]Mouse admin'!$D$8</f>
        <v>Wireless Logitech Mx Master 3s</v>
      </c>
      <c r="C12" s="57">
        <v>1</v>
      </c>
      <c r="D12" s="9">
        <f>+'[1]Mouse admin'!$H$8</f>
        <v>579900</v>
      </c>
      <c r="E12" s="9">
        <f>+'[1]Mouse admin'!$H$9</f>
        <v>699900</v>
      </c>
      <c r="F12" s="9">
        <f>+'[1]Mouse admin'!$H$10</f>
        <v>334230</v>
      </c>
      <c r="G12" s="9"/>
      <c r="H12" s="9"/>
      <c r="I12" s="9"/>
      <c r="J12" s="13">
        <f>MIN(Comparación_precios245[[#This Row],[PROVEEDOR 1]:[PROVEEDOR 6]])</f>
        <v>334230</v>
      </c>
      <c r="K12" s="8">
        <f>IFERROR(AVERAGE(Comparación_precios245[[#This Row],[PROVEEDOR 1]:[PROVEEDOR 6]]),0)</f>
        <v>538010</v>
      </c>
      <c r="L12" s="14">
        <f>MAX(Comparación_precios245[[#This Row],[PROVEEDOR 1]:[PROVEEDOR 6]])</f>
        <v>699900</v>
      </c>
    </row>
    <row r="13" spans="2:14" s="7" customFormat="1" ht="19.5" thickBot="1" x14ac:dyDescent="0.35">
      <c r="B13" s="56"/>
      <c r="C13" s="57"/>
      <c r="D13" s="69"/>
      <c r="E13" s="9"/>
      <c r="F13" s="9"/>
      <c r="G13" s="9"/>
      <c r="H13" s="9"/>
      <c r="I13" s="9"/>
      <c r="J13" s="13">
        <f>MIN(Comparación_precios245[[#This Row],[PROVEEDOR 1]:[PROVEEDOR 6]])</f>
        <v>0</v>
      </c>
      <c r="K13" s="8">
        <f>IFERROR(AVERAGE(Comparación_precios245[[#This Row],[PROVEEDOR 1]:[PROVEEDOR 6]]),0)</f>
        <v>0</v>
      </c>
      <c r="L13" s="14">
        <f>MAX(Comparación_precios245[[#This Row],[PROVEEDOR 1]:[PROVEEDOR 6]])</f>
        <v>0</v>
      </c>
    </row>
    <row r="14" spans="2:14" s="7" customFormat="1" ht="19.5" thickBot="1" x14ac:dyDescent="0.35">
      <c r="B14" s="56"/>
      <c r="C14" s="57"/>
      <c r="D14" s="9"/>
      <c r="E14" s="9"/>
      <c r="F14" s="9"/>
      <c r="G14" s="9"/>
      <c r="H14" s="9"/>
      <c r="I14" s="9"/>
      <c r="J14" s="27">
        <f>MIN(Comparación_precios245[[#This Row],[PROVEEDOR 1]:[PROVEEDOR 6]])</f>
        <v>0</v>
      </c>
      <c r="K14" s="28">
        <f>IFERROR(AVERAGE(Comparación_precios245[[#This Row],[PROVEEDOR 1]:[PROVEEDOR 6]]),0)</f>
        <v>0</v>
      </c>
      <c r="L14" s="29">
        <f>MAX(Comparación_precios245[[#This Row],[PROVEEDOR 1]:[PROVEEDOR 6]])</f>
        <v>0</v>
      </c>
    </row>
    <row r="15" spans="2:14" s="2" customFormat="1" ht="19.5" thickBot="1" x14ac:dyDescent="0.35">
      <c r="B15" s="59"/>
      <c r="C15" s="57"/>
      <c r="D15" s="9"/>
      <c r="E15" s="44"/>
      <c r="F15" s="44"/>
      <c r="G15" s="44"/>
      <c r="H15" s="44"/>
      <c r="I15" s="44"/>
      <c r="J15" s="27">
        <f>MIN(Comparación_precios245[[#This Row],[PROVEEDOR 1]:[PROVEEDOR 6]])</f>
        <v>0</v>
      </c>
      <c r="K15" s="8">
        <f>IFERROR(AVERAGE(Comparación_precios245[[#This Row],[PROVEEDOR 1]:[PROVEEDOR 6]]),0)</f>
        <v>0</v>
      </c>
      <c r="L15" s="14">
        <f>MAX(Comparación_precios245[[#This Row],[PROVEEDOR 1]:[PROVEEDOR 6]])</f>
        <v>0</v>
      </c>
    </row>
    <row r="16" spans="2:14" s="2" customFormat="1" ht="19.5" thickBot="1" x14ac:dyDescent="0.35">
      <c r="B16" s="59"/>
      <c r="C16" s="57"/>
      <c r="D16" s="9"/>
      <c r="E16" s="44"/>
      <c r="F16" s="44"/>
      <c r="G16" s="44"/>
      <c r="H16" s="44"/>
      <c r="I16" s="44"/>
      <c r="J16" s="27">
        <f>MIN(Comparación_precios245[[#This Row],[PROVEEDOR 1]:[PROVEEDOR 6]])</f>
        <v>0</v>
      </c>
      <c r="K16" s="8">
        <f>IFERROR(AVERAGE(Comparación_precios245[[#This Row],[PROVEEDOR 1]:[PROVEEDOR 6]]),0)</f>
        <v>0</v>
      </c>
      <c r="L16" s="14">
        <f>MAX(Comparación_precios245[[#This Row],[PROVEEDOR 1]:[PROVEEDOR 6]])</f>
        <v>0</v>
      </c>
    </row>
    <row r="17" spans="2:12" s="2" customFormat="1" ht="19.5" thickBot="1" x14ac:dyDescent="0.35">
      <c r="B17" s="59"/>
      <c r="C17" s="57"/>
      <c r="D17" s="9"/>
      <c r="E17" s="44"/>
      <c r="F17" s="44"/>
      <c r="G17" s="44"/>
      <c r="H17" s="44"/>
      <c r="I17" s="44"/>
      <c r="J17" s="27">
        <f>MIN(Comparación_precios245[[#This Row],[PROVEEDOR 1]:[PROVEEDOR 6]])</f>
        <v>0</v>
      </c>
      <c r="K17" s="28">
        <f>IFERROR(AVERAGE(Comparación_precios245[[#This Row],[PROVEEDOR 1]:[PROVEEDOR 6]]),0)</f>
        <v>0</v>
      </c>
      <c r="L17" s="29">
        <f>MAX(Comparación_precios245[[#This Row],[PROVEEDOR 1]:[PROVEEDOR 6]])</f>
        <v>0</v>
      </c>
    </row>
    <row r="18" spans="2:12" s="2" customFormat="1" ht="19.5" thickBot="1" x14ac:dyDescent="0.35">
      <c r="B18" s="60"/>
      <c r="C18" s="57"/>
      <c r="D18" s="9"/>
      <c r="E18" s="43"/>
      <c r="F18" s="43"/>
      <c r="G18" s="43"/>
      <c r="H18" s="41"/>
      <c r="I18" s="55"/>
      <c r="J18" s="27">
        <f>MIN(Comparación_precios245[[#This Row],[PROVEEDOR 1]:[PROVEEDOR 6]])</f>
        <v>0</v>
      </c>
      <c r="K18" s="8">
        <f>IFERROR(AVERAGE(Comparación_precios245[[#This Row],[PROVEEDOR 1]:[PROVEEDOR 6]]),0)</f>
        <v>0</v>
      </c>
      <c r="L18" s="14">
        <f>MAX(Comparación_precios245[[#This Row],[PROVEEDOR 1]:[PROVEEDOR 6]])</f>
        <v>0</v>
      </c>
    </row>
    <row r="19" spans="2:12" s="2" customFormat="1" ht="19.5" thickBot="1" x14ac:dyDescent="0.35">
      <c r="B19" s="41"/>
      <c r="C19" s="57"/>
      <c r="D19" s="9"/>
      <c r="E19" s="43"/>
      <c r="F19" s="43"/>
      <c r="G19" s="43"/>
      <c r="H19" s="41"/>
      <c r="I19" s="55"/>
      <c r="J19" s="27">
        <f>MIN(Comparación_precios245[[#This Row],[PROVEEDOR 1]:[PROVEEDOR 6]])</f>
        <v>0</v>
      </c>
      <c r="K19" s="8">
        <f>IFERROR(AVERAGE(Comparación_precios245[[#This Row],[PROVEEDOR 1]:[PROVEEDOR 6]]),0)</f>
        <v>0</v>
      </c>
      <c r="L19" s="14">
        <f>MAX(Comparación_precios245[[#This Row],[PROVEEDOR 1]:[PROVEEDOR 6]])</f>
        <v>0</v>
      </c>
    </row>
    <row r="20" spans="2:12" s="2" customFormat="1" ht="19.5" thickBot="1" x14ac:dyDescent="0.35">
      <c r="B20" s="41"/>
      <c r="C20" s="42"/>
      <c r="D20" s="9"/>
      <c r="E20" s="43"/>
      <c r="F20" s="43"/>
      <c r="G20" s="43"/>
      <c r="H20" s="41"/>
      <c r="I20" s="55"/>
      <c r="J20" s="27">
        <f>MIN(Comparación_precios245[[#This Row],[PROVEEDOR 1]:[PROVEEDOR 6]])</f>
        <v>0</v>
      </c>
      <c r="K20" s="8">
        <f>IFERROR(AVERAGE(Comparación_precios245[[#This Row],[PROVEEDOR 1]:[PROVEEDOR 6]]),0)</f>
        <v>0</v>
      </c>
      <c r="L20" s="14">
        <f>MAX(Comparación_precios245[[#This Row],[PROVEEDOR 1]:[PROVEEDOR 6]])</f>
        <v>0</v>
      </c>
    </row>
    <row r="21" spans="2:12" s="2" customFormat="1" ht="19.5" thickBot="1" x14ac:dyDescent="0.35">
      <c r="B21" s="41"/>
      <c r="C21" s="42"/>
      <c r="D21" s="9"/>
      <c r="E21" s="43"/>
      <c r="F21" s="43"/>
      <c r="G21" s="43"/>
      <c r="H21" s="41"/>
      <c r="I21" s="55"/>
      <c r="J21" s="27">
        <f>MIN(Comparación_precios245[[#This Row],[PROVEEDOR 1]:[PROVEEDOR 6]])</f>
        <v>0</v>
      </c>
      <c r="K21" s="8">
        <f>IFERROR(AVERAGE(Comparación_precios245[[#This Row],[PROVEEDOR 1]:[PROVEEDOR 6]]),0)</f>
        <v>0</v>
      </c>
      <c r="L21" s="14">
        <f>MAX(Comparación_precios245[[#This Row],[PROVEEDOR 1]:[PROVEEDOR 6]])</f>
        <v>0</v>
      </c>
    </row>
    <row r="22" spans="2:12" s="2" customFormat="1" ht="19.5" thickBot="1" x14ac:dyDescent="0.35">
      <c r="B22" s="41"/>
      <c r="C22" s="42"/>
      <c r="D22" s="9"/>
      <c r="E22" s="43"/>
      <c r="F22" s="43"/>
      <c r="G22" s="43"/>
      <c r="H22" s="41"/>
      <c r="I22" s="55"/>
      <c r="J22" s="27">
        <f>MIN(Comparación_precios245[[#This Row],[PROVEEDOR 1]:[PROVEEDOR 6]])</f>
        <v>0</v>
      </c>
      <c r="K22" s="8">
        <f>IFERROR(AVERAGE(Comparación_precios245[[#This Row],[PROVEEDOR 1]:[PROVEEDOR 6]]),0)</f>
        <v>0</v>
      </c>
      <c r="L22" s="14">
        <f>MAX(Comparación_precios245[[#This Row],[PROVEEDOR 1]:[PROVEEDOR 6]])</f>
        <v>0</v>
      </c>
    </row>
    <row r="23" spans="2:12" s="2" customFormat="1" ht="19.5" thickBot="1" x14ac:dyDescent="0.35">
      <c r="B23" s="41"/>
      <c r="C23" s="42"/>
      <c r="D23" s="9"/>
      <c r="E23" s="43"/>
      <c r="F23" s="43"/>
      <c r="G23" s="43"/>
      <c r="H23" s="41"/>
      <c r="I23" s="55"/>
      <c r="J23" s="27">
        <f>MIN(Comparación_precios245[[#This Row],[PROVEEDOR 1]:[PROVEEDOR 6]])</f>
        <v>0</v>
      </c>
      <c r="K23" s="8">
        <f>IFERROR(AVERAGE(Comparación_precios245[[#This Row],[PROVEEDOR 1]:[PROVEEDOR 6]]),0)</f>
        <v>0</v>
      </c>
      <c r="L23" s="14">
        <f>MAX(Comparación_precios245[[#This Row],[PROVEEDOR 1]:[PROVEEDOR 6]])</f>
        <v>0</v>
      </c>
    </row>
    <row r="24" spans="2:12" s="2" customFormat="1" ht="19.5" thickBot="1" x14ac:dyDescent="0.35">
      <c r="B24" s="41"/>
      <c r="C24" s="42"/>
      <c r="D24" s="9"/>
      <c r="E24" s="43"/>
      <c r="F24" s="43"/>
      <c r="G24" s="43"/>
      <c r="H24" s="41"/>
      <c r="I24" s="55"/>
      <c r="J24" s="27">
        <f>MIN(Comparación_precios245[[#This Row],[PROVEEDOR 1]:[PROVEEDOR 6]])</f>
        <v>0</v>
      </c>
      <c r="K24" s="8">
        <f>IFERROR(AVERAGE(Comparación_precios245[[#This Row],[PROVEEDOR 1]:[PROVEEDOR 6]]),0)</f>
        <v>0</v>
      </c>
      <c r="L24" s="14">
        <f>MAX(Comparación_precios245[[#This Row],[PROVEEDOR 1]:[PROVEEDOR 6]])</f>
        <v>0</v>
      </c>
    </row>
    <row r="25" spans="2:12" s="2" customFormat="1" ht="19.5" thickBot="1" x14ac:dyDescent="0.35">
      <c r="B25" s="32" t="s">
        <v>15</v>
      </c>
      <c r="C25" s="32"/>
      <c r="D25" s="33">
        <f>ROUND(SUMPRODUCT(Comparación_precios245[[CANTIDAD]:[CANTIDAD]],Comparación_precios245[PROVEEDOR 1]),2)</f>
        <v>2389800</v>
      </c>
      <c r="E25" s="33">
        <f>ROUND(SUMPRODUCT(Comparación_precios245[[CANTIDAD]:[CANTIDAD]],Comparación_precios245[PROVEEDOR 2]),2)</f>
        <v>2812360</v>
      </c>
      <c r="F25" s="33">
        <f>ROUND(SUMPRODUCT(Comparación_precios245[[CANTIDAD]:[CANTIDAD]],Comparación_precios245[PROVEEDOR 3]),2)</f>
        <v>2296030</v>
      </c>
      <c r="G25" s="33">
        <f>ROUND(SUMPRODUCT(Comparación_precios245[[CANTIDAD]:[CANTIDAD]],Comparación_precios245[PROVEEDOR 4]),2)</f>
        <v>0</v>
      </c>
      <c r="H25" s="33">
        <f>ROUND(SUMPRODUCT(Comparación_precios245[[CANTIDAD]:[CANTIDAD]],Comparación_precios245[PROVEEDOR 5]),2)</f>
        <v>0</v>
      </c>
      <c r="I25" s="33">
        <f>ROUND(SUMPRODUCT(Comparación_precios245[[CANTIDAD]:[CANTIDAD]],Comparación_precios245[PROVEEDOR 6]),2)</f>
        <v>0</v>
      </c>
      <c r="J25" s="34"/>
      <c r="K25" s="34"/>
      <c r="L25" s="35"/>
    </row>
    <row r="26" spans="2:12" s="2" customFormat="1" x14ac:dyDescent="0.2">
      <c r="B26" s="1"/>
      <c r="C26" s="1"/>
      <c r="D26" s="1"/>
      <c r="E26" s="1"/>
      <c r="F26" s="1"/>
      <c r="G26" s="1"/>
      <c r="H26" s="1"/>
      <c r="I26" s="1"/>
      <c r="J26" s="1"/>
      <c r="K26" s="3"/>
      <c r="L26" s="3"/>
    </row>
    <row r="27" spans="2:12" s="2" customFormat="1" ht="13.5" thickBot="1" x14ac:dyDescent="0.25"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</row>
    <row r="28" spans="2:12" s="2" customFormat="1" ht="48.6" customHeight="1" x14ac:dyDescent="0.2">
      <c r="B28" s="67" t="s">
        <v>16</v>
      </c>
      <c r="C28" s="68"/>
      <c r="D28" s="21"/>
      <c r="E28" s="21"/>
      <c r="F28" s="21"/>
      <c r="G28" s="21"/>
      <c r="H28" s="21"/>
    </row>
    <row r="29" spans="2:12" s="2" customFormat="1" ht="33.6" customHeight="1" x14ac:dyDescent="0.2">
      <c r="B29" s="65" t="s">
        <v>17</v>
      </c>
      <c r="C29" s="66"/>
      <c r="D29" s="61" t="s">
        <v>25</v>
      </c>
      <c r="E29" s="15" t="s">
        <v>26</v>
      </c>
      <c r="F29" s="46" t="s">
        <v>18</v>
      </c>
      <c r="G29" s="15"/>
      <c r="H29" s="15"/>
      <c r="I29" s="15"/>
    </row>
    <row r="30" spans="2:12" s="2" customFormat="1" ht="25.9" customHeight="1" x14ac:dyDescent="0.2">
      <c r="B30" s="65" t="s">
        <v>21</v>
      </c>
      <c r="C30" s="66"/>
      <c r="D30" s="47">
        <v>0</v>
      </c>
      <c r="E30" s="22">
        <v>0</v>
      </c>
      <c r="F30" s="22">
        <v>0</v>
      </c>
      <c r="G30" s="15"/>
      <c r="H30" s="22"/>
      <c r="I30" s="22"/>
    </row>
    <row r="31" spans="2:12" s="2" customFormat="1" ht="18" customHeight="1" x14ac:dyDescent="0.2">
      <c r="B31" s="65" t="s">
        <v>22</v>
      </c>
      <c r="C31" s="66"/>
      <c r="D31" s="48"/>
      <c r="E31" s="23"/>
      <c r="F31" s="23"/>
      <c r="G31" s="23"/>
      <c r="H31" s="23"/>
      <c r="I31" s="23"/>
    </row>
    <row r="32" spans="2:12" s="2" customFormat="1" ht="18.75" x14ac:dyDescent="0.2">
      <c r="B32" s="65"/>
      <c r="C32" s="66"/>
      <c r="D32" s="49"/>
      <c r="E32" s="24"/>
      <c r="F32" s="24"/>
      <c r="G32" s="24"/>
      <c r="H32" s="24"/>
      <c r="I32" s="24"/>
    </row>
    <row r="33" spans="2:12" s="2" customFormat="1" ht="18.75" x14ac:dyDescent="0.2">
      <c r="B33" s="65"/>
      <c r="C33" s="66"/>
      <c r="D33" s="50"/>
      <c r="E33" s="25"/>
      <c r="F33" s="25"/>
      <c r="G33" s="25"/>
      <c r="H33" s="25"/>
      <c r="I33" s="25"/>
    </row>
    <row r="34" spans="2:12" ht="18.75" x14ac:dyDescent="0.2">
      <c r="B34" s="65"/>
      <c r="C34" s="66"/>
      <c r="D34" s="51"/>
      <c r="E34" s="26"/>
      <c r="F34" s="26"/>
      <c r="G34" s="26"/>
      <c r="H34" s="26"/>
      <c r="I34" s="26"/>
      <c r="J34" s="2"/>
      <c r="K34" s="1"/>
      <c r="L34" s="1"/>
    </row>
    <row r="35" spans="2:12" x14ac:dyDescent="0.2">
      <c r="J35" s="3"/>
      <c r="K35" s="1"/>
      <c r="L35" s="1"/>
    </row>
    <row r="36" spans="2:12" x14ac:dyDescent="0.2">
      <c r="J36" s="3"/>
      <c r="K36" s="1"/>
      <c r="L36" s="1"/>
    </row>
    <row r="37" spans="2:12" ht="18.75" x14ac:dyDescent="0.2">
      <c r="D37" s="36"/>
      <c r="E37" s="36"/>
      <c r="F37" s="37"/>
      <c r="G37" s="38"/>
      <c r="H37" s="39"/>
      <c r="I37" s="36"/>
      <c r="J37" s="3"/>
      <c r="K37" s="1"/>
      <c r="L37" s="1"/>
    </row>
    <row r="38" spans="2:12" ht="18.75" x14ac:dyDescent="0.2">
      <c r="D38" s="36"/>
      <c r="E38" s="36"/>
      <c r="F38" s="37"/>
      <c r="G38" s="40"/>
      <c r="H38" s="39"/>
      <c r="I38" s="36"/>
    </row>
    <row r="39" spans="2:12" ht="18.75" x14ac:dyDescent="0.2">
      <c r="D39" s="36"/>
      <c r="E39" s="36"/>
      <c r="F39" s="37"/>
      <c r="G39" s="40"/>
      <c r="H39" s="39"/>
      <c r="I39" s="36"/>
    </row>
    <row r="40" spans="2:12" ht="18.75" x14ac:dyDescent="0.2">
      <c r="D40" s="36"/>
      <c r="E40" s="36"/>
      <c r="F40" s="37"/>
      <c r="G40" s="40"/>
      <c r="H40" s="39"/>
      <c r="I40" s="36"/>
    </row>
    <row r="41" spans="2:12" ht="18.75" x14ac:dyDescent="0.2">
      <c r="D41" s="36"/>
      <c r="E41" s="36"/>
      <c r="F41" s="37"/>
      <c r="G41" s="40"/>
      <c r="H41" s="39"/>
      <c r="I41" s="36"/>
    </row>
    <row r="42" spans="2:12" ht="18.75" x14ac:dyDescent="0.2">
      <c r="D42" s="36"/>
      <c r="E42" s="36"/>
      <c r="F42" s="37"/>
      <c r="G42" s="40"/>
      <c r="H42" s="39"/>
      <c r="I42" s="36"/>
    </row>
  </sheetData>
  <mergeCells count="5">
    <mergeCell ref="J7:L7"/>
    <mergeCell ref="B28:C28"/>
    <mergeCell ref="B29:C29"/>
    <mergeCell ref="B30:C30"/>
    <mergeCell ref="B31:C34"/>
  </mergeCells>
  <conditionalFormatting sqref="B8:C8">
    <cfRule type="expression" dxfId="15" priority="2">
      <formula>AND(B$25=MIN($D$25:$I$25),B$25&lt;&gt;0)</formula>
    </cfRule>
  </conditionalFormatting>
  <conditionalFormatting sqref="E13:F13 D12:F12">
    <cfRule type="expression" dxfId="14" priority="1">
      <formula>AND(D$25=MIN($D$25:$I$25),D$25&lt;&gt;0)</formula>
    </cfRule>
  </conditionalFormatting>
  <conditionalFormatting sqref="D8:I8 D25:I25">
    <cfRule type="expression" dxfId="13" priority="3">
      <formula>AND(D$25=MIN($D$25:$I$25),D$25&lt;&gt;0)</formula>
    </cfRule>
  </conditionalFormatting>
  <conditionalFormatting sqref="D9:I11 G12:I13 D14:I24">
    <cfRule type="expression" dxfId="12" priority="4">
      <formula>AND(D$25=MIN($D$25:$I$25),D$25&lt;&gt;0)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I41"/>
  <sheetViews>
    <sheetView topLeftCell="A6" workbookViewId="0">
      <selection activeCell="B28" sqref="B28:I30"/>
    </sheetView>
  </sheetViews>
  <sheetFormatPr baseColWidth="10" defaultColWidth="12" defaultRowHeight="11.25" x14ac:dyDescent="0.2"/>
  <cols>
    <col min="2" max="2" width="19.83203125" customWidth="1"/>
    <col min="4" max="9" width="18.5" customWidth="1"/>
  </cols>
  <sheetData>
    <row r="6" spans="2:9" ht="12" thickBot="1" x14ac:dyDescent="0.25"/>
    <row r="7" spans="2:9" ht="19.5" thickBot="1" x14ac:dyDescent="0.25">
      <c r="B7" s="44" t="s">
        <v>27</v>
      </c>
      <c r="C7" s="45">
        <v>1</v>
      </c>
      <c r="D7" s="44">
        <v>498</v>
      </c>
      <c r="E7" s="44">
        <v>420</v>
      </c>
      <c r="F7" s="44">
        <v>450</v>
      </c>
      <c r="G7" s="44">
        <v>230</v>
      </c>
      <c r="H7" s="44">
        <v>600</v>
      </c>
      <c r="I7" s="44">
        <v>520</v>
      </c>
    </row>
    <row r="8" spans="2:9" ht="19.5" thickBot="1" x14ac:dyDescent="0.25">
      <c r="B8" s="44" t="s">
        <v>28</v>
      </c>
      <c r="C8" s="45">
        <v>2</v>
      </c>
      <c r="D8" s="44">
        <v>450</v>
      </c>
      <c r="E8" s="44">
        <v>220</v>
      </c>
      <c r="F8" s="44">
        <v>405</v>
      </c>
      <c r="G8" s="44">
        <v>495</v>
      </c>
      <c r="H8" s="44">
        <v>540</v>
      </c>
      <c r="I8" s="44">
        <v>200</v>
      </c>
    </row>
    <row r="9" spans="2:9" ht="19.5" thickBot="1" x14ac:dyDescent="0.25">
      <c r="B9" s="44" t="s">
        <v>29</v>
      </c>
      <c r="C9" s="45">
        <v>2</v>
      </c>
      <c r="D9" s="44">
        <v>650</v>
      </c>
      <c r="E9" s="44">
        <v>620</v>
      </c>
      <c r="F9" s="44">
        <v>666</v>
      </c>
      <c r="G9" s="44">
        <v>400</v>
      </c>
      <c r="H9" s="44">
        <v>648</v>
      </c>
      <c r="I9" s="44">
        <v>452.4</v>
      </c>
    </row>
    <row r="10" spans="2:9" ht="19.5" thickBot="1" x14ac:dyDescent="0.25">
      <c r="B10" s="44" t="s">
        <v>30</v>
      </c>
      <c r="C10" s="45">
        <v>1</v>
      </c>
      <c r="D10" s="44">
        <v>585</v>
      </c>
      <c r="E10" s="44">
        <v>558</v>
      </c>
      <c r="F10" s="44">
        <v>320</v>
      </c>
      <c r="G10" s="44">
        <v>360</v>
      </c>
      <c r="H10" s="44">
        <v>583.20000000000005</v>
      </c>
      <c r="I10" s="44">
        <v>407.16</v>
      </c>
    </row>
    <row r="11" spans="2:9" ht="19.5" thickBot="1" x14ac:dyDescent="0.25">
      <c r="B11" s="44" t="s">
        <v>31</v>
      </c>
      <c r="C11" s="45">
        <v>3</v>
      </c>
      <c r="D11" s="44">
        <v>526.5</v>
      </c>
      <c r="E11" s="44">
        <v>502.2</v>
      </c>
      <c r="F11" s="44">
        <v>539.46</v>
      </c>
      <c r="G11" s="44">
        <v>300</v>
      </c>
      <c r="H11" s="44">
        <v>500</v>
      </c>
      <c r="I11" s="44">
        <v>366.44</v>
      </c>
    </row>
    <row r="12" spans="2:9" ht="19.5" thickBot="1" x14ac:dyDescent="0.25">
      <c r="B12" s="44" t="s">
        <v>32</v>
      </c>
      <c r="C12" s="45">
        <v>1</v>
      </c>
      <c r="D12" s="44">
        <v>473.8</v>
      </c>
      <c r="E12" s="44">
        <v>200</v>
      </c>
      <c r="F12" s="44">
        <v>485.51</v>
      </c>
      <c r="G12" s="44">
        <v>291.60000000000002</v>
      </c>
      <c r="H12" s="44">
        <v>270</v>
      </c>
      <c r="I12" s="44">
        <v>220</v>
      </c>
    </row>
    <row r="19" spans="2:9" ht="18.75" x14ac:dyDescent="0.2">
      <c r="D19" s="46">
        <v>30</v>
      </c>
      <c r="E19" s="15">
        <v>10</v>
      </c>
      <c r="F19" s="15">
        <v>15</v>
      </c>
      <c r="G19" s="15">
        <v>15</v>
      </c>
      <c r="H19" s="15">
        <v>15</v>
      </c>
      <c r="I19" s="15">
        <v>10</v>
      </c>
    </row>
    <row r="20" spans="2:9" ht="18.75" x14ac:dyDescent="0.2">
      <c r="D20" s="47">
        <v>10</v>
      </c>
      <c r="E20" s="22">
        <v>10</v>
      </c>
      <c r="F20" s="22">
        <v>10</v>
      </c>
      <c r="G20" s="15" t="s">
        <v>33</v>
      </c>
      <c r="H20" s="22">
        <v>5</v>
      </c>
      <c r="I20" s="22" t="s">
        <v>33</v>
      </c>
    </row>
    <row r="21" spans="2:9" ht="18.75" x14ac:dyDescent="0.2">
      <c r="D21" s="48" t="s">
        <v>34</v>
      </c>
      <c r="E21" s="23" t="s">
        <v>34</v>
      </c>
      <c r="F21" s="23" t="s">
        <v>35</v>
      </c>
      <c r="G21" s="23" t="s">
        <v>36</v>
      </c>
      <c r="H21" s="23" t="s">
        <v>35</v>
      </c>
      <c r="I21" s="23" t="s">
        <v>35</v>
      </c>
    </row>
    <row r="22" spans="2:9" ht="18.75" x14ac:dyDescent="0.2">
      <c r="D22" s="49" t="s">
        <v>37</v>
      </c>
      <c r="E22" s="24" t="s">
        <v>37</v>
      </c>
      <c r="F22" s="24" t="s">
        <v>38</v>
      </c>
      <c r="G22" s="24" t="s">
        <v>35</v>
      </c>
      <c r="H22" s="24" t="s">
        <v>38</v>
      </c>
      <c r="I22" s="24" t="s">
        <v>38</v>
      </c>
    </row>
    <row r="23" spans="2:9" ht="18.75" x14ac:dyDescent="0.2">
      <c r="D23" s="50"/>
      <c r="E23" s="25"/>
      <c r="F23" s="25"/>
      <c r="G23" s="25"/>
      <c r="H23" s="25"/>
      <c r="I23" s="25"/>
    </row>
    <row r="24" spans="2:9" ht="18.75" x14ac:dyDescent="0.2">
      <c r="D24" s="51"/>
      <c r="E24" s="26"/>
      <c r="F24" s="26"/>
      <c r="G24" s="26"/>
      <c r="H24" s="26"/>
      <c r="I24" s="26"/>
    </row>
    <row r="27" spans="2:9" ht="12" thickBot="1" x14ac:dyDescent="0.25"/>
    <row r="28" spans="2:9" ht="19.5" thickBot="1" x14ac:dyDescent="0.25">
      <c r="B28" s="44" t="s">
        <v>39</v>
      </c>
      <c r="C28" s="45">
        <v>1</v>
      </c>
      <c r="D28" s="44">
        <v>340</v>
      </c>
      <c r="E28" s="44">
        <v>330</v>
      </c>
      <c r="F28" s="44">
        <v>440</v>
      </c>
      <c r="G28" s="44">
        <v>400</v>
      </c>
      <c r="H28" s="44">
        <v>320</v>
      </c>
      <c r="I28" s="44">
        <v>330</v>
      </c>
    </row>
    <row r="29" spans="2:9" ht="19.5" thickBot="1" x14ac:dyDescent="0.25">
      <c r="B29" s="44" t="s">
        <v>40</v>
      </c>
      <c r="C29" s="45">
        <v>1</v>
      </c>
      <c r="D29" s="44">
        <v>220</v>
      </c>
      <c r="E29" s="44">
        <v>230</v>
      </c>
      <c r="F29" s="44">
        <v>240</v>
      </c>
      <c r="G29" s="44">
        <v>220</v>
      </c>
      <c r="H29" s="44">
        <v>219</v>
      </c>
      <c r="I29" s="44">
        <v>218</v>
      </c>
    </row>
    <row r="30" spans="2:9" ht="19.5" thickBot="1" x14ac:dyDescent="0.25">
      <c r="B30" s="44" t="s">
        <v>41</v>
      </c>
      <c r="C30" s="45">
        <v>2</v>
      </c>
      <c r="D30" s="44">
        <v>560</v>
      </c>
      <c r="E30" s="44">
        <v>580</v>
      </c>
      <c r="F30" s="44">
        <v>550</v>
      </c>
      <c r="G30" s="44">
        <v>520</v>
      </c>
      <c r="H30" s="44">
        <v>551</v>
      </c>
      <c r="I30" s="44">
        <v>550</v>
      </c>
    </row>
    <row r="35" spans="2:2" ht="14.25" x14ac:dyDescent="0.2">
      <c r="B35" s="54" t="s">
        <v>42</v>
      </c>
    </row>
    <row r="36" spans="2:2" ht="18.75" x14ac:dyDescent="0.2">
      <c r="B36" s="52">
        <v>250</v>
      </c>
    </row>
    <row r="37" spans="2:2" ht="18.75" x14ac:dyDescent="0.2">
      <c r="B37" s="53">
        <v>440</v>
      </c>
    </row>
    <row r="38" spans="2:2" ht="18.75" x14ac:dyDescent="0.2">
      <c r="B38" s="53">
        <v>440</v>
      </c>
    </row>
    <row r="39" spans="2:2" ht="18.75" x14ac:dyDescent="0.2">
      <c r="B39" s="53">
        <v>350</v>
      </c>
    </row>
    <row r="40" spans="2:2" ht="18.75" x14ac:dyDescent="0.2">
      <c r="B40" s="53">
        <v>420</v>
      </c>
    </row>
    <row r="41" spans="2:2" ht="18.75" x14ac:dyDescent="0.2">
      <c r="B41" s="53">
        <v>199</v>
      </c>
    </row>
  </sheetData>
  <conditionalFormatting sqref="D7:I12 D28:I30">
    <cfRule type="expression" dxfId="11" priority="2">
      <formula>AND(D$15=MIN($D$15:$I$15),D$15&lt;&gt;0)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- AYUDA -</vt:lpstr>
      <vt:lpstr>Precios(Equipo Programacion)</vt:lpstr>
      <vt:lpstr>Precios (Equipo Admin)</vt:lpstr>
      <vt:lpstr>Precios (pc Doctor)</vt:lpstr>
      <vt:lpstr>Precios (pc Enfermero)</vt:lpstr>
      <vt:lpstr>Soporte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Planilla excel</dc:creator>
  <cp:keywords/>
  <dc:description/>
  <cp:lastModifiedBy>johny molano</cp:lastModifiedBy>
  <cp:revision/>
  <dcterms:created xsi:type="dcterms:W3CDTF">2013-10-17T12:18:53Z</dcterms:created>
  <dcterms:modified xsi:type="dcterms:W3CDTF">2024-06-20T17:53:45Z</dcterms:modified>
  <cp:category/>
  <cp:contentStatus/>
</cp:coreProperties>
</file>